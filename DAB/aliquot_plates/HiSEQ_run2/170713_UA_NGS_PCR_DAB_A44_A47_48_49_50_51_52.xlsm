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munov\Documents\workspace\ngs_pipelines\DAB\aliquot_plates\HiSEQ_run2\"/>
    </mc:Choice>
  </mc:AlternateContent>
  <bookViews>
    <workbookView xWindow="0" yWindow="0" windowWidth="25200" windowHeight="11985" tabRatio="780" activeTab="1"/>
  </bookViews>
  <sheets>
    <sheet name="NGS_PCR" sheetId="3" r:id="rId1"/>
    <sheet name="DAB_A47" sheetId="7" r:id="rId2"/>
    <sheet name="DAB_A48" sheetId="6" r:id="rId3"/>
    <sheet name="DAB_A49" sheetId="5" r:id="rId4"/>
    <sheet name="DAB_A50" sheetId="8" r:id="rId5"/>
    <sheet name="DAB_A51" sheetId="9" r:id="rId6"/>
    <sheet name="DAB_A52" sheetId="10" r:id="rId7"/>
  </sheets>
  <definedNames>
    <definedName name="_xlnm.Print_Area" localSheetId="1">DAB_A47!$B$4:$J$11</definedName>
    <definedName name="_xlnm.Print_Area" localSheetId="0">NGS_PCR!$A$1:$G$21</definedName>
    <definedName name="ReportMapping">#REF!</definedName>
  </definedNames>
  <calcPr calcId="152511"/>
</workbook>
</file>

<file path=xl/calcChain.xml><?xml version="1.0" encoding="utf-8"?>
<calcChain xmlns="http://schemas.openxmlformats.org/spreadsheetml/2006/main">
  <c r="I23" i="3" l="1"/>
  <c r="J23" i="3" s="1"/>
  <c r="B3" i="3" l="1"/>
  <c r="K3" i="3"/>
  <c r="B4" i="3" s="1"/>
  <c r="K2" i="3"/>
  <c r="F11" i="3" l="1"/>
  <c r="F8" i="3"/>
  <c r="F7" i="3" l="1"/>
  <c r="F6" i="3" l="1"/>
  <c r="F10" i="3" s="1"/>
  <c r="F13" i="3" s="1"/>
</calcChain>
</file>

<file path=xl/sharedStrings.xml><?xml version="1.0" encoding="utf-8"?>
<sst xmlns="http://schemas.openxmlformats.org/spreadsheetml/2006/main" count="893" uniqueCount="649">
  <si>
    <t>A</t>
  </si>
  <si>
    <t>B</t>
  </si>
  <si>
    <t>C</t>
  </si>
  <si>
    <t>D</t>
  </si>
  <si>
    <t>E</t>
  </si>
  <si>
    <t>F</t>
  </si>
  <si>
    <t>G</t>
  </si>
  <si>
    <t>H</t>
  </si>
  <si>
    <t>Number samples</t>
  </si>
  <si>
    <t xml:space="preserve">DNA </t>
  </si>
  <si>
    <t>µl</t>
  </si>
  <si>
    <t>Volume PCR</t>
  </si>
  <si>
    <t>UHQ water</t>
  </si>
  <si>
    <t>µl            □</t>
  </si>
  <si>
    <t>×</t>
  </si>
  <si>
    <t>Volume Mastermix Total</t>
  </si>
  <si>
    <t>Initial denaturation</t>
  </si>
  <si>
    <t>95°C</t>
  </si>
  <si>
    <t>Volume of PCR mix/tube</t>
  </si>
  <si>
    <t>Number of cycles :</t>
  </si>
  <si>
    <t xml:space="preserve">    Denaturation :</t>
  </si>
  <si>
    <t>30 sec</t>
  </si>
  <si>
    <t>V / multichanel dist.</t>
  </si>
  <si>
    <t xml:space="preserve">    Annealing:</t>
  </si>
  <si>
    <t xml:space="preserve">    Elongation :</t>
  </si>
  <si>
    <t>72°C</t>
  </si>
  <si>
    <t>1 min</t>
  </si>
  <si>
    <t>Final Elongation</t>
  </si>
  <si>
    <t xml:space="preserve">PCR : </t>
  </si>
  <si>
    <t>1:30 min</t>
  </si>
  <si>
    <t xml:space="preserve">Date : </t>
  </si>
  <si>
    <t>Person:</t>
  </si>
  <si>
    <t>Platinum Mastermix</t>
  </si>
  <si>
    <t>GC Enhancer 1%</t>
  </si>
  <si>
    <t>Primer Mix</t>
  </si>
  <si>
    <t>2 min</t>
  </si>
  <si>
    <t>95°c</t>
  </si>
  <si>
    <t>57°C</t>
  </si>
  <si>
    <t>10 min</t>
  </si>
  <si>
    <t>Aliquot Plates</t>
  </si>
  <si>
    <t>Libraries</t>
  </si>
  <si>
    <t>PCR Plates</t>
  </si>
  <si>
    <t>tubes</t>
  </si>
  <si>
    <t>NGS_UA  PCR Protocol</t>
  </si>
  <si>
    <t>DNA%</t>
  </si>
  <si>
    <t>Primer%</t>
  </si>
  <si>
    <t>.</t>
  </si>
  <si>
    <t>Maja&amp;Barbara</t>
  </si>
  <si>
    <t>TKIVNI VZORCI - MM pripravljen v neinvazivnem labu, vzorci dodani v spodnjem labu.</t>
  </si>
  <si>
    <t>DAB_A44</t>
  </si>
  <si>
    <t>DAB022</t>
  </si>
  <si>
    <t>DAB022_A44_PP3</t>
  </si>
  <si>
    <t>DAB022_A44_PP6</t>
  </si>
  <si>
    <t>DAB022_A44_PP4</t>
  </si>
  <si>
    <t>DAB022_A44_PP5</t>
  </si>
  <si>
    <t>DAB023_A47_PP3</t>
  </si>
  <si>
    <t>DAB023_A47_PP6</t>
  </si>
  <si>
    <t>DAB023_A48_PP4</t>
  </si>
  <si>
    <t>DAB023_A48_PP5</t>
  </si>
  <si>
    <t>DAB024_A49_PP1</t>
  </si>
  <si>
    <t>DAB024_A49_PP8</t>
  </si>
  <si>
    <t>DAB024_A50_PP2</t>
  </si>
  <si>
    <t>DAB024_A50_PP7</t>
  </si>
  <si>
    <t>DAB024_A51_PP3</t>
  </si>
  <si>
    <t>DAB024_A51_PP6</t>
  </si>
  <si>
    <t>DAB024_A52_PP4</t>
  </si>
  <si>
    <t>DAB024_A52_PP5</t>
  </si>
  <si>
    <t>DAB_A47, DAB_A48, DAB_A49, DAB_A50, DAB_A51, DAB_A52</t>
  </si>
  <si>
    <t>DAB023, DAB024</t>
  </si>
  <si>
    <t>M21X8</t>
  </si>
  <si>
    <t>M21UT</t>
  </si>
  <si>
    <t>M21XJ</t>
  </si>
  <si>
    <t>M21P7</t>
  </si>
  <si>
    <t>M21U5</t>
  </si>
  <si>
    <t>M21UH</t>
  </si>
  <si>
    <t>M21XA</t>
  </si>
  <si>
    <t>M21PA</t>
  </si>
  <si>
    <t>M21UA</t>
  </si>
  <si>
    <t>M21UJ</t>
  </si>
  <si>
    <t>M21UF</t>
  </si>
  <si>
    <t>M21UE</t>
  </si>
  <si>
    <t>M21UC</t>
  </si>
  <si>
    <t>M21UK</t>
  </si>
  <si>
    <t>M21U8</t>
  </si>
  <si>
    <t>M21U7</t>
  </si>
  <si>
    <t>M21U6</t>
  </si>
  <si>
    <t>M21U4</t>
  </si>
  <si>
    <t>M21U3</t>
  </si>
  <si>
    <t>M21U2</t>
  </si>
  <si>
    <t>M21U1</t>
  </si>
  <si>
    <t>M21U0</t>
  </si>
  <si>
    <t>M21TY</t>
  </si>
  <si>
    <t>M21TU</t>
  </si>
  <si>
    <t>M21TT</t>
  </si>
  <si>
    <t>M21TP</t>
  </si>
  <si>
    <t>M21TM</t>
  </si>
  <si>
    <t>M21TL</t>
  </si>
  <si>
    <t>AK.05CU</t>
  </si>
  <si>
    <t>M21X4</t>
  </si>
  <si>
    <t>M21X1</t>
  </si>
  <si>
    <t>M21XK</t>
  </si>
  <si>
    <t>M21X2</t>
  </si>
  <si>
    <t>M21UY</t>
  </si>
  <si>
    <t>M21UP</t>
  </si>
  <si>
    <t>M21X5</t>
  </si>
  <si>
    <t>M21UM</t>
  </si>
  <si>
    <t>M21X3</t>
  </si>
  <si>
    <t>M21X7</t>
  </si>
  <si>
    <t>M21X6</t>
  </si>
  <si>
    <t>M21UX</t>
  </si>
  <si>
    <t>M21UL</t>
  </si>
  <si>
    <t>M21UU</t>
  </si>
  <si>
    <t>M21XE</t>
  </si>
  <si>
    <t>M21XH</t>
  </si>
  <si>
    <t>M21XF</t>
  </si>
  <si>
    <t>AK.05CT</t>
  </si>
  <si>
    <t>M21PJ</t>
  </si>
  <si>
    <t>M21MU</t>
  </si>
  <si>
    <t>M21P0</t>
  </si>
  <si>
    <t>M21X0</t>
  </si>
  <si>
    <t>M21P4</t>
  </si>
  <si>
    <t>M21P8</t>
  </si>
  <si>
    <t>M21P2</t>
  </si>
  <si>
    <t>M21TX</t>
  </si>
  <si>
    <t>M21T2</t>
  </si>
  <si>
    <t>M21PK</t>
  </si>
  <si>
    <t>M21TC</t>
  </si>
  <si>
    <t>M21T3</t>
  </si>
  <si>
    <t>M21MY</t>
  </si>
  <si>
    <t>M21P3</t>
  </si>
  <si>
    <t>M21T1</t>
  </si>
  <si>
    <t>M21PC</t>
  </si>
  <si>
    <t>M21TA</t>
  </si>
  <si>
    <t>M21T0</t>
  </si>
  <si>
    <t>M21J4</t>
  </si>
  <si>
    <t>M21XC</t>
  </si>
  <si>
    <t>M21TE</t>
  </si>
  <si>
    <t>M21PM</t>
  </si>
  <si>
    <t>M21PL</t>
  </si>
  <si>
    <t>AK.05CP</t>
  </si>
  <si>
    <t>M21T8</t>
  </si>
  <si>
    <t>M21T6</t>
  </si>
  <si>
    <t>M21PY</t>
  </si>
  <si>
    <t>M21T5</t>
  </si>
  <si>
    <t>M21T4</t>
  </si>
  <si>
    <t>M21P6</t>
  </si>
  <si>
    <t>M21PT</t>
  </si>
  <si>
    <t>M21TF</t>
  </si>
  <si>
    <t>M21PF</t>
  </si>
  <si>
    <t>M21PE</t>
  </si>
  <si>
    <t>M21P5</t>
  </si>
  <si>
    <t>M21Y0</t>
  </si>
  <si>
    <t>M21Y2</t>
  </si>
  <si>
    <t>M21YM</t>
  </si>
  <si>
    <t>M21Y3</t>
  </si>
  <si>
    <t>M21YK</t>
  </si>
  <si>
    <t>M21Y4</t>
  </si>
  <si>
    <t>M21Y5</t>
  </si>
  <si>
    <t>M21Y6</t>
  </si>
  <si>
    <t>M21XX</t>
  </si>
  <si>
    <t>AK.05CM</t>
  </si>
  <si>
    <t>M21YE</t>
  </si>
  <si>
    <t>M21YC</t>
  </si>
  <si>
    <t>M21YF</t>
  </si>
  <si>
    <t>M21Y8</t>
  </si>
  <si>
    <t>M21YH</t>
  </si>
  <si>
    <t>M21Y7</t>
  </si>
  <si>
    <t>M21XY</t>
  </si>
  <si>
    <t>M21XT</t>
  </si>
  <si>
    <t>M21XP</t>
  </si>
  <si>
    <t>M21XM</t>
  </si>
  <si>
    <t>M21XU</t>
  </si>
  <si>
    <t>M21XL</t>
  </si>
  <si>
    <t>M21YL</t>
  </si>
  <si>
    <t>M21YA</t>
  </si>
  <si>
    <t>M21MK</t>
  </si>
  <si>
    <t>M21MM</t>
  </si>
  <si>
    <t>M21MP</t>
  </si>
  <si>
    <t>M21MF</t>
  </si>
  <si>
    <t>M21ME</t>
  </si>
  <si>
    <t>M21MJ</t>
  </si>
  <si>
    <t>M21MH</t>
  </si>
  <si>
    <t>M21ML</t>
  </si>
  <si>
    <t>AK.05CL</t>
  </si>
  <si>
    <t>CF.0K64</t>
  </si>
  <si>
    <t>CF.0K63</t>
  </si>
  <si>
    <t>CF.0K62</t>
  </si>
  <si>
    <t>CF.0K61</t>
  </si>
  <si>
    <t>CF.0K60</t>
  </si>
  <si>
    <t>CF.0K5Y</t>
  </si>
  <si>
    <t>CF.0K5X</t>
  </si>
  <si>
    <t>CF.0K5U</t>
  </si>
  <si>
    <t>CF.0K5T</t>
  </si>
  <si>
    <t>CF.0K5P</t>
  </si>
  <si>
    <t>CF.0K5M</t>
  </si>
  <si>
    <t>CF.0K5L</t>
  </si>
  <si>
    <t>CF.0K5K</t>
  </si>
  <si>
    <t>CF.0K5J</t>
  </si>
  <si>
    <t>CF.0K5H</t>
  </si>
  <si>
    <t>CF.0K5F</t>
  </si>
  <si>
    <t>CF.0K5E</t>
  </si>
  <si>
    <t>CF.0K5C</t>
  </si>
  <si>
    <t>CF.0K5A</t>
  </si>
  <si>
    <t>CF.0K58</t>
  </si>
  <si>
    <t>CF.0K57</t>
  </si>
  <si>
    <t>CF.0K56</t>
  </si>
  <si>
    <t>CF.0K55</t>
  </si>
  <si>
    <t>AK.05CK</t>
  </si>
  <si>
    <t>CF.0K54</t>
  </si>
  <si>
    <t>CF.0K53</t>
  </si>
  <si>
    <t>CF.0K52</t>
  </si>
  <si>
    <t>CF.0K51</t>
  </si>
  <si>
    <t>CF.0K50</t>
  </si>
  <si>
    <t>CF.0K4Y</t>
  </si>
  <si>
    <t>CF.0K4X</t>
  </si>
  <si>
    <t>CF.0K4U</t>
  </si>
  <si>
    <t>CF.0K4T</t>
  </si>
  <si>
    <t>CF.0K4P</t>
  </si>
  <si>
    <t>CF.0K4M</t>
  </si>
  <si>
    <t>CF.0K4L</t>
  </si>
  <si>
    <t>CF.0K4K</t>
  </si>
  <si>
    <t>CF.0K4J</t>
  </si>
  <si>
    <t>CF.0K4H</t>
  </si>
  <si>
    <t>CF.0K4E</t>
  </si>
  <si>
    <t>CF.0K4C</t>
  </si>
  <si>
    <t>CF.0K4A</t>
  </si>
  <si>
    <t>CF.0K47</t>
  </si>
  <si>
    <t>CF.0K46</t>
  </si>
  <si>
    <t>CF.0K45</t>
  </si>
  <si>
    <t>CF.0K4F</t>
  </si>
  <si>
    <t>AK.05CJ</t>
  </si>
  <si>
    <t>CE.0JX8</t>
  </si>
  <si>
    <t>CE.0JX7</t>
  </si>
  <si>
    <t>CE.0JX6</t>
  </si>
  <si>
    <t>CE.0JX4</t>
  </si>
  <si>
    <t>CE.0JX3</t>
  </si>
  <si>
    <t>CE.0JX2</t>
  </si>
  <si>
    <t>CE.0JX1</t>
  </si>
  <si>
    <t>CE.0JX0</t>
  </si>
  <si>
    <t>CE.0JUX</t>
  </si>
  <si>
    <t>CE.0JUU</t>
  </si>
  <si>
    <t>CE.0JUT</t>
  </si>
  <si>
    <t>CE.0JUP</t>
  </si>
  <si>
    <t>CE.0JUM</t>
  </si>
  <si>
    <t>CE.0JUL</t>
  </si>
  <si>
    <t>CE.0JUJ</t>
  </si>
  <si>
    <t>CE.0JUH</t>
  </si>
  <si>
    <t>CE.0JUF</t>
  </si>
  <si>
    <t>CE.0JUE</t>
  </si>
  <si>
    <t>CE.0JUC</t>
  </si>
  <si>
    <t>CE.0JUA</t>
  </si>
  <si>
    <t>CF.0K44</t>
  </si>
  <si>
    <t>CF.0K43</t>
  </si>
  <si>
    <t>CF.0K41</t>
  </si>
  <si>
    <t>CF.0K40</t>
  </si>
  <si>
    <t>CF.0K3Y</t>
  </si>
  <si>
    <t>CF.0K3X</t>
  </si>
  <si>
    <t>CF.0K3U</t>
  </si>
  <si>
    <t>CF.0K3T</t>
  </si>
  <si>
    <t>CF.0K3P</t>
  </si>
  <si>
    <t>CF.0K3M</t>
  </si>
  <si>
    <t>CF.0K3L</t>
  </si>
  <si>
    <t>CF.0K3K</t>
  </si>
  <si>
    <t>CF.0K3J</t>
  </si>
  <si>
    <t>CF.0K3H</t>
  </si>
  <si>
    <t>CF.0K3F</t>
  </si>
  <si>
    <t>CF.0K3E</t>
  </si>
  <si>
    <t>CF.0K3C</t>
  </si>
  <si>
    <t>CF.0K3A</t>
  </si>
  <si>
    <t>CF.0K38</t>
  </si>
  <si>
    <t>CF.0K37</t>
  </si>
  <si>
    <t>CF.0K36</t>
  </si>
  <si>
    <t>CF.0K35</t>
  </si>
  <si>
    <t>AK.05CF</t>
  </si>
  <si>
    <t>M21H2</t>
  </si>
  <si>
    <t>M21H3</t>
  </si>
  <si>
    <t>M21H4</t>
  </si>
  <si>
    <t>M21H5</t>
  </si>
  <si>
    <t>M21H6</t>
  </si>
  <si>
    <t>M21H7</t>
  </si>
  <si>
    <t>M21H8</t>
  </si>
  <si>
    <t>M21HA</t>
  </si>
  <si>
    <t>M21HC</t>
  </si>
  <si>
    <t>M21HE</t>
  </si>
  <si>
    <t>M21HF</t>
  </si>
  <si>
    <t>M21HH</t>
  </si>
  <si>
    <t>M21HJ</t>
  </si>
  <si>
    <t>M21HK</t>
  </si>
  <si>
    <t>M21HL</t>
  </si>
  <si>
    <t>M21HM</t>
  </si>
  <si>
    <t>M21HP</t>
  </si>
  <si>
    <t>M21HT</t>
  </si>
  <si>
    <t>M21HU</t>
  </si>
  <si>
    <t>M21HX</t>
  </si>
  <si>
    <t>M21HY</t>
  </si>
  <si>
    <t>M21J0</t>
  </si>
  <si>
    <t>M21J1</t>
  </si>
  <si>
    <t>AK.05CE</t>
  </si>
  <si>
    <t>M21J2</t>
  </si>
  <si>
    <t>M21J3</t>
  </si>
  <si>
    <t>M21J5</t>
  </si>
  <si>
    <t>M21J6</t>
  </si>
  <si>
    <t>M21J7</t>
  </si>
  <si>
    <t>M21J8</t>
  </si>
  <si>
    <t>M21JA</t>
  </si>
  <si>
    <t>M21JC</t>
  </si>
  <si>
    <t>M21JE</t>
  </si>
  <si>
    <t>M21JF</t>
  </si>
  <si>
    <t>M21JH</t>
  </si>
  <si>
    <t>M21JJ</t>
  </si>
  <si>
    <t>M21JK</t>
  </si>
  <si>
    <t>M21JL</t>
  </si>
  <si>
    <t>M21JM</t>
  </si>
  <si>
    <t>M21JP</t>
  </si>
  <si>
    <t>M21JT</t>
  </si>
  <si>
    <t>M21JU</t>
  </si>
  <si>
    <t>AK.05CC</t>
  </si>
  <si>
    <t>M21JX</t>
  </si>
  <si>
    <t>M21MC</t>
  </si>
  <si>
    <t>M21M6</t>
  </si>
  <si>
    <t>M21M7</t>
  </si>
  <si>
    <t>M21M8</t>
  </si>
  <si>
    <t>M21MA</t>
  </si>
  <si>
    <t>M21EJ</t>
  </si>
  <si>
    <t>M21EH</t>
  </si>
  <si>
    <t>M21E7</t>
  </si>
  <si>
    <t>M21E8</t>
  </si>
  <si>
    <t>M21TK</t>
  </si>
  <si>
    <t>M21TJ</t>
  </si>
  <si>
    <t>M21MT</t>
  </si>
  <si>
    <t>M21TH</t>
  </si>
  <si>
    <t>M21EL</t>
  </si>
  <si>
    <t>M21EM</t>
  </si>
  <si>
    <t>M21EK</t>
  </si>
  <si>
    <t>M21EA</t>
  </si>
  <si>
    <t>AK.05CA</t>
  </si>
  <si>
    <t>M212H</t>
  </si>
  <si>
    <t>M212F</t>
  </si>
  <si>
    <t>M212E</t>
  </si>
  <si>
    <t>M212C</t>
  </si>
  <si>
    <t>M212A</t>
  </si>
  <si>
    <t>M2127</t>
  </si>
  <si>
    <t>M2126</t>
  </si>
  <si>
    <t>PK A44</t>
  </si>
  <si>
    <t>M2124</t>
  </si>
  <si>
    <t>M2123</t>
  </si>
  <si>
    <t>AF.0281</t>
  </si>
  <si>
    <t>AK.05C6</t>
  </si>
  <si>
    <t>M20U4</t>
  </si>
  <si>
    <t>M20U5</t>
  </si>
  <si>
    <t>M20U6</t>
  </si>
  <si>
    <t>M20U7</t>
  </si>
  <si>
    <t>M20U8</t>
  </si>
  <si>
    <t>M20UA</t>
  </si>
  <si>
    <t>M20UC</t>
  </si>
  <si>
    <t>M20UE</t>
  </si>
  <si>
    <t>M20UF</t>
  </si>
  <si>
    <t>M20UH</t>
  </si>
  <si>
    <t>M20UJ</t>
  </si>
  <si>
    <t>M20UK</t>
  </si>
  <si>
    <t>M20UL</t>
  </si>
  <si>
    <t>M20UM</t>
  </si>
  <si>
    <t>M20UP</t>
  </si>
  <si>
    <t>M20UT</t>
  </si>
  <si>
    <t>M20UU</t>
  </si>
  <si>
    <t>M20UX</t>
  </si>
  <si>
    <t>M20UY</t>
  </si>
  <si>
    <t>M20X0</t>
  </si>
  <si>
    <t>M20X1</t>
  </si>
  <si>
    <t>M20X2</t>
  </si>
  <si>
    <t>M20X3</t>
  </si>
  <si>
    <t>AK.05C5</t>
  </si>
  <si>
    <t>M2121</t>
  </si>
  <si>
    <t>M2120</t>
  </si>
  <si>
    <t>M211Y</t>
  </si>
  <si>
    <t>M211X</t>
  </si>
  <si>
    <t>M211U</t>
  </si>
  <si>
    <t>M211T</t>
  </si>
  <si>
    <t>M211P</t>
  </si>
  <si>
    <t>M211M</t>
  </si>
  <si>
    <t>M211L</t>
  </si>
  <si>
    <t>M211K</t>
  </si>
  <si>
    <t>M211J</t>
  </si>
  <si>
    <t>M20Y7</t>
  </si>
  <si>
    <t>M20Y8</t>
  </si>
  <si>
    <t>M20YA</t>
  </si>
  <si>
    <t>M20YC</t>
  </si>
  <si>
    <t>M20YE</t>
  </si>
  <si>
    <t>M20YF</t>
  </si>
  <si>
    <t>M20YH</t>
  </si>
  <si>
    <t>M20YJ</t>
  </si>
  <si>
    <t>M20YK</t>
  </si>
  <si>
    <t>M20YL</t>
  </si>
  <si>
    <t>M20YM</t>
  </si>
  <si>
    <t>M20YP</t>
  </si>
  <si>
    <t>M20YT</t>
  </si>
  <si>
    <t>M20YU</t>
  </si>
  <si>
    <t>M20YX</t>
  </si>
  <si>
    <t>M20YY</t>
  </si>
  <si>
    <t>AK.05C4</t>
  </si>
  <si>
    <t>M2100</t>
  </si>
  <si>
    <t>M2101</t>
  </si>
  <si>
    <t>M2102</t>
  </si>
  <si>
    <t>M2105</t>
  </si>
  <si>
    <t>M2103</t>
  </si>
  <si>
    <t>M2104</t>
  </si>
  <si>
    <t>M2106</t>
  </si>
  <si>
    <t>M2107</t>
  </si>
  <si>
    <t>M2108</t>
  </si>
  <si>
    <t>AK.05C3</t>
  </si>
  <si>
    <t>M1YTL</t>
  </si>
  <si>
    <t>M1YTK</t>
  </si>
  <si>
    <t>TM002K</t>
  </si>
  <si>
    <t>TM000M</t>
  </si>
  <si>
    <t>TM001C</t>
  </si>
  <si>
    <t>TM000P</t>
  </si>
  <si>
    <t>TM0002</t>
  </si>
  <si>
    <t>TM0014</t>
  </si>
  <si>
    <t>TM000H</t>
  </si>
  <si>
    <t>TM001Y</t>
  </si>
  <si>
    <t>TM001U</t>
  </si>
  <si>
    <t>TM0016</t>
  </si>
  <si>
    <t>TM001J</t>
  </si>
  <si>
    <t>TM000E</t>
  </si>
  <si>
    <t>TM00EM</t>
  </si>
  <si>
    <t>TM0018</t>
  </si>
  <si>
    <t>TM001K</t>
  </si>
  <si>
    <t>TM000U</t>
  </si>
  <si>
    <t>TM001H</t>
  </si>
  <si>
    <t>AK.05C0</t>
  </si>
  <si>
    <t>TM001A</t>
  </si>
  <si>
    <t>TM000F</t>
  </si>
  <si>
    <t>TM000K</t>
  </si>
  <si>
    <t>TM0012</t>
  </si>
  <si>
    <t>TM0015</t>
  </si>
  <si>
    <t>PK A43</t>
  </si>
  <si>
    <t>M21YJ</t>
  </si>
  <si>
    <t>M21PU</t>
  </si>
  <si>
    <t>M21T7</t>
  </si>
  <si>
    <t>M21Y1</t>
  </si>
  <si>
    <t>CE.0JX5</t>
  </si>
  <si>
    <t>CE.0JUY</t>
  </si>
  <si>
    <t>CE.0JUK</t>
  </si>
  <si>
    <t>AK.05CH</t>
  </si>
  <si>
    <t>CF.0K42</t>
  </si>
  <si>
    <t>M21EF</t>
  </si>
  <si>
    <t>M21PP</t>
  </si>
  <si>
    <t>M21EE</t>
  </si>
  <si>
    <t>M2128</t>
  </si>
  <si>
    <t>M2125</t>
  </si>
  <si>
    <t>TM0013</t>
  </si>
  <si>
    <t>TM0006</t>
  </si>
  <si>
    <t>TM0011</t>
  </si>
  <si>
    <t>TM001T</t>
  </si>
  <si>
    <t>TM0020</t>
  </si>
  <si>
    <t>TM00AX</t>
  </si>
  <si>
    <t>TM0024</t>
  </si>
  <si>
    <t>TM001P</t>
  </si>
  <si>
    <t>TM002X</t>
  </si>
  <si>
    <t>TM00E2</t>
  </si>
  <si>
    <t>TM002U</t>
  </si>
  <si>
    <t>TM002M</t>
  </si>
  <si>
    <t>TM00EL</t>
  </si>
  <si>
    <t>TM003T</t>
  </si>
  <si>
    <t>TM002H</t>
  </si>
  <si>
    <t>TM001L</t>
  </si>
  <si>
    <t>TM002Y</t>
  </si>
  <si>
    <t>AK.05AY</t>
  </si>
  <si>
    <t>M1Y8E</t>
  </si>
  <si>
    <t>M1Y8A</t>
  </si>
  <si>
    <t>M1Y8C</t>
  </si>
  <si>
    <t>AK.05A7</t>
  </si>
  <si>
    <t>PK A42</t>
  </si>
  <si>
    <t>TM00CE</t>
  </si>
  <si>
    <t>TM00CT</t>
  </si>
  <si>
    <t>ET.1FFU</t>
  </si>
  <si>
    <t>ET.1FH7</t>
  </si>
  <si>
    <t>AK.05EJ</t>
  </si>
  <si>
    <t>ET.1FX2</t>
  </si>
  <si>
    <t>ET.1FH3</t>
  </si>
  <si>
    <t>ET.1FH5</t>
  </si>
  <si>
    <t>ET.1FH4</t>
  </si>
  <si>
    <t>ET.1FFX</t>
  </si>
  <si>
    <t>ET.1FJC</t>
  </si>
  <si>
    <t>ET.1FJ8</t>
  </si>
  <si>
    <t>ET.1FJA</t>
  </si>
  <si>
    <t>ET.1FFL</t>
  </si>
  <si>
    <t>ET.1FH6</t>
  </si>
  <si>
    <t>ET.1FFF</t>
  </si>
  <si>
    <t>ET.1FFM</t>
  </si>
  <si>
    <t>ET.1FF8</t>
  </si>
  <si>
    <t>ET.1FFY</t>
  </si>
  <si>
    <t>ET.1FFP</t>
  </si>
  <si>
    <t>ET.1FFK</t>
  </si>
  <si>
    <t>ET.1FH0</t>
  </si>
  <si>
    <t>ET.1FX1</t>
  </si>
  <si>
    <t>ET.1FX0</t>
  </si>
  <si>
    <t>ET.1FUY</t>
  </si>
  <si>
    <t>ET.1FUX</t>
  </si>
  <si>
    <t>ET.1FEJ</t>
  </si>
  <si>
    <t>ET.1FET</t>
  </si>
  <si>
    <t>ET.1FEE</t>
  </si>
  <si>
    <t>ET.1FEP</t>
  </si>
  <si>
    <t>ET.1FEF</t>
  </si>
  <si>
    <t>ET.1FEA</t>
  </si>
  <si>
    <t>ET.1FEL</t>
  </si>
  <si>
    <t>ET.1FEK</t>
  </si>
  <si>
    <t>ET.1FUU</t>
  </si>
  <si>
    <t>ET.1FUT</t>
  </si>
  <si>
    <t>ET.1FUP</t>
  </si>
  <si>
    <t>ET.1FUM</t>
  </si>
  <si>
    <t>ET.1FFH</t>
  </si>
  <si>
    <t>ET.1FF2</t>
  </si>
  <si>
    <t>ET.1FFT</t>
  </si>
  <si>
    <t>ET.1FFA</t>
  </si>
  <si>
    <t>ET.1FHC</t>
  </si>
  <si>
    <t>ET.1FHP</t>
  </si>
  <si>
    <t>ET.1FJ7</t>
  </si>
  <si>
    <t>ET.1FHM</t>
  </si>
  <si>
    <t>ET.1FH1</t>
  </si>
  <si>
    <t>ET.1FHY</t>
  </si>
  <si>
    <t>ET.1FHJ</t>
  </si>
  <si>
    <t>ET.1FJE</t>
  </si>
  <si>
    <t>ET.1FFE</t>
  </si>
  <si>
    <t>AK.05EL</t>
  </si>
  <si>
    <t>ET.1FF3</t>
  </si>
  <si>
    <t>ET.1FFJ</t>
  </si>
  <si>
    <t>AK.05EK</t>
  </si>
  <si>
    <t>ET.1FEY</t>
  </si>
  <si>
    <t>ET.1FH8</t>
  </si>
  <si>
    <t>ET.1FF7</t>
  </si>
  <si>
    <t>ET.1FFC</t>
  </si>
  <si>
    <t>ET.1FJK</t>
  </si>
  <si>
    <t>ET.1FJP</t>
  </si>
  <si>
    <t>ET.1FJU</t>
  </si>
  <si>
    <t>ET.1FJX</t>
  </si>
  <si>
    <t>ET.1FJF</t>
  </si>
  <si>
    <t>ET.1FEM</t>
  </si>
  <si>
    <t>AK.05EM</t>
  </si>
  <si>
    <t>ET.1FHA</t>
  </si>
  <si>
    <t>ET.1FF6</t>
  </si>
  <si>
    <t>ET.1FJH</t>
  </si>
  <si>
    <t>ET.1FF5</t>
  </si>
  <si>
    <t>ET.1FF4</t>
  </si>
  <si>
    <t>ET.1FHL</t>
  </si>
  <si>
    <t>ET.1FHK</t>
  </si>
  <si>
    <t>ET.1FJ6</t>
  </si>
  <si>
    <t>M210J</t>
  </si>
  <si>
    <t>M210H</t>
  </si>
  <si>
    <t>M210F</t>
  </si>
  <si>
    <t>M210E</t>
  </si>
  <si>
    <t>M210C</t>
  </si>
  <si>
    <t>M1Y86</t>
  </si>
  <si>
    <t>M1Y87</t>
  </si>
  <si>
    <t>AK.05A8</t>
  </si>
  <si>
    <t>M210K</t>
  </si>
  <si>
    <t>M1Y81</t>
  </si>
  <si>
    <t>M1Y82</t>
  </si>
  <si>
    <t>M1Y83</t>
  </si>
  <si>
    <t>M1Y84</t>
  </si>
  <si>
    <t>M1Y85</t>
  </si>
  <si>
    <t>AK.05AA</t>
  </si>
  <si>
    <t>M1YAJ</t>
  </si>
  <si>
    <t>M1Y75</t>
  </si>
  <si>
    <t>M1YA4</t>
  </si>
  <si>
    <t>M1Y73</t>
  </si>
  <si>
    <t>M1YA5</t>
  </si>
  <si>
    <t>M210P</t>
  </si>
  <si>
    <t>M210M</t>
  </si>
  <si>
    <t>M210L</t>
  </si>
  <si>
    <t>M1Y67</t>
  </si>
  <si>
    <t>M1Y66</t>
  </si>
  <si>
    <t>M1Y52</t>
  </si>
  <si>
    <t>M1Y51</t>
  </si>
  <si>
    <t>M1Y78</t>
  </si>
  <si>
    <t>M1Y77</t>
  </si>
  <si>
    <t>M1Y76</t>
  </si>
  <si>
    <t>AK.05AC</t>
  </si>
  <si>
    <t>M1Y6K</t>
  </si>
  <si>
    <t>M1Y6J</t>
  </si>
  <si>
    <t>M1Y6H</t>
  </si>
  <si>
    <t>M1Y6E</t>
  </si>
  <si>
    <t>M1Y6C</t>
  </si>
  <si>
    <t>M1Y6F</t>
  </si>
  <si>
    <t>M1Y6A</t>
  </si>
  <si>
    <t>M1Y68</t>
  </si>
  <si>
    <t>M1Y70</t>
  </si>
  <si>
    <t>M1Y6Y</t>
  </si>
  <si>
    <t>M1Y6X</t>
  </si>
  <si>
    <t>M1Y6U</t>
  </si>
  <si>
    <t>M1Y6T</t>
  </si>
  <si>
    <t>M1Y6P</t>
  </si>
  <si>
    <t>M1Y6M</t>
  </si>
  <si>
    <t>M1Y6L</t>
  </si>
  <si>
    <t>M1Y7F</t>
  </si>
  <si>
    <t>M1Y7E</t>
  </si>
  <si>
    <t>M1Y7C</t>
  </si>
  <si>
    <t>M1Y7A</t>
  </si>
  <si>
    <t>M1Y71</t>
  </si>
  <si>
    <t>M1Y72</t>
  </si>
  <si>
    <t>M1Y74</t>
  </si>
  <si>
    <t>AK.05AE</t>
  </si>
  <si>
    <t>M1Y7U</t>
  </si>
  <si>
    <t>M1Y7T</t>
  </si>
  <si>
    <t>M1Y7P</t>
  </si>
  <si>
    <t>M1Y7M</t>
  </si>
  <si>
    <t>M1Y7L</t>
  </si>
  <si>
    <t>M1Y7K</t>
  </si>
  <si>
    <t>M1Y7J</t>
  </si>
  <si>
    <t>M1Y7H</t>
  </si>
  <si>
    <t>M1Y61</t>
  </si>
  <si>
    <t>M1Y62</t>
  </si>
  <si>
    <t>M1Y63</t>
  </si>
  <si>
    <t>M1Y64</t>
  </si>
  <si>
    <t>M1Y65</t>
  </si>
  <si>
    <t>M1Y80</t>
  </si>
  <si>
    <t>M1Y7Y</t>
  </si>
  <si>
    <t>M1Y7X</t>
  </si>
  <si>
    <t>DAB_A47</t>
  </si>
  <si>
    <t>DAB_A48</t>
  </si>
  <si>
    <t>DAB_A49</t>
  </si>
  <si>
    <t>DAB_A50</t>
  </si>
  <si>
    <t>DAB_A51</t>
  </si>
  <si>
    <t>DAB_A52</t>
  </si>
  <si>
    <t>blank01_A47</t>
  </si>
  <si>
    <t>blank03_A47</t>
  </si>
  <si>
    <t>blank02_A47</t>
  </si>
  <si>
    <t>blank04_A47</t>
  </si>
  <si>
    <t>blank01_A48</t>
  </si>
  <si>
    <t>blank02_A48</t>
  </si>
  <si>
    <t>blank03_A48</t>
  </si>
  <si>
    <t>blank04_A48</t>
  </si>
  <si>
    <t>blank01.A49</t>
  </si>
  <si>
    <t>blank02.A49</t>
  </si>
  <si>
    <t>blank03.A49</t>
  </si>
  <si>
    <t>blank04.A49</t>
  </si>
  <si>
    <t>blank01.A50</t>
  </si>
  <si>
    <t>blank04.A50</t>
  </si>
  <si>
    <t>blank03.A50</t>
  </si>
  <si>
    <t>blank02.A50</t>
  </si>
  <si>
    <t>blank04.A51</t>
  </si>
  <si>
    <t>blank03.A51</t>
  </si>
  <si>
    <t>blank02.A51</t>
  </si>
  <si>
    <t>blank01.A51</t>
  </si>
  <si>
    <t>MIX.M1Y84.M1Y83</t>
  </si>
  <si>
    <t>blank01.A52</t>
  </si>
  <si>
    <t>blank02.A52</t>
  </si>
  <si>
    <t>blank03.A52</t>
  </si>
  <si>
    <t>PK.A41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</si>
</sst>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19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0"/>
      <name val="Arial"/>
      <family val="2"/>
      <charset val="238"/>
    </font>
    <font>
      <b/>
      <sz val="11"/>
      <name val="Calibri"/>
      <family val="2"/>
      <charset val="238"/>
      <scheme val="minor"/>
    </font>
    <font>
      <sz val="11"/>
      <name val="Calibri"/>
      <family val="2"/>
      <charset val="238"/>
      <scheme val="minor"/>
    </font>
    <font>
      <sz val="10"/>
      <color indexed="8"/>
      <name val="Arial"/>
      <family val="2"/>
      <charset val="238"/>
    </font>
    <font>
      <sz val="11"/>
      <color indexed="8"/>
      <name val="Calibri"/>
      <family val="2"/>
      <charset val="238"/>
      <scheme val="minor"/>
    </font>
    <font>
      <sz val="11"/>
      <color indexed="10"/>
      <name val="Calibri"/>
      <family val="2"/>
      <charset val="238"/>
      <scheme val="minor"/>
    </font>
    <font>
      <sz val="11"/>
      <color indexed="48"/>
      <name val="Calibri"/>
      <family val="2"/>
      <charset val="238"/>
      <scheme val="minor"/>
    </font>
    <font>
      <b/>
      <sz val="11"/>
      <color indexed="10"/>
      <name val="Calibri"/>
      <family val="2"/>
      <charset val="238"/>
      <scheme val="minor"/>
    </font>
    <font>
      <sz val="10"/>
      <color theme="1"/>
      <name val="Calibri"/>
      <family val="2"/>
      <charset val="238"/>
      <scheme val="minor"/>
    </font>
    <font>
      <sz val="10"/>
      <color rgb="FF222222"/>
      <name val="Arial"/>
      <family val="2"/>
      <charset val="238"/>
    </font>
    <font>
      <sz val="10"/>
      <name val="MS Sans Serif"/>
      <family val="2"/>
      <charset val="238"/>
    </font>
    <font>
      <b/>
      <sz val="11"/>
      <color theme="0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sz val="11"/>
      <color indexed="8"/>
      <name val="Calibri"/>
      <family val="2"/>
      <charset val="238"/>
    </font>
    <font>
      <sz val="10"/>
      <color indexed="8"/>
      <name val="Arial"/>
      <family val="2"/>
    </font>
    <font>
      <b/>
      <sz val="11"/>
      <color indexed="8"/>
      <name val="Calibri"/>
      <family val="2"/>
    </font>
    <font>
      <sz val="11"/>
      <color indexed="8"/>
      <name val="Calibri"/>
      <family val="2"/>
      <charset val="1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22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8">
    <xf numFmtId="0" fontId="0" fillId="0" borderId="0"/>
    <xf numFmtId="0" fontId="2" fillId="0" borderId="0"/>
    <xf numFmtId="0" fontId="5" fillId="0" borderId="0"/>
    <xf numFmtId="0" fontId="12" fillId="0" borderId="0"/>
    <xf numFmtId="0" fontId="5" fillId="0" borderId="0"/>
    <xf numFmtId="0" fontId="16" fillId="0" borderId="0"/>
    <xf numFmtId="0" fontId="18" fillId="0" borderId="0"/>
    <xf numFmtId="0" fontId="15" fillId="0" borderId="0"/>
  </cellStyleXfs>
  <cellXfs count="108">
    <xf numFmtId="0" fontId="0" fillId="0" borderId="0" xfId="0"/>
    <xf numFmtId="0" fontId="4" fillId="0" borderId="0" xfId="1" applyFont="1" applyFill="1"/>
    <xf numFmtId="0" fontId="4" fillId="0" borderId="0" xfId="1" applyFont="1" applyAlignment="1">
      <alignment horizontal="left"/>
    </xf>
    <xf numFmtId="0" fontId="4" fillId="0" borderId="0" xfId="1" applyFont="1"/>
    <xf numFmtId="0" fontId="6" fillId="0" borderId="26" xfId="2" applyFont="1" applyFill="1" applyBorder="1" applyAlignment="1">
      <alignment wrapText="1"/>
    </xf>
    <xf numFmtId="0" fontId="4" fillId="0" borderId="6" xfId="0" applyFont="1" applyBorder="1"/>
    <xf numFmtId="0" fontId="4" fillId="0" borderId="9" xfId="0" applyFont="1" applyBorder="1" applyAlignment="1">
      <alignment horizontal="left"/>
    </xf>
    <xf numFmtId="0" fontId="4" fillId="0" borderId="0" xfId="0" applyFont="1" applyAlignment="1">
      <alignment horizontal="left"/>
    </xf>
    <xf numFmtId="0" fontId="4" fillId="0" borderId="0" xfId="0" applyFont="1" applyBorder="1"/>
    <xf numFmtId="0" fontId="4" fillId="0" borderId="1" xfId="0" applyFont="1" applyBorder="1"/>
    <xf numFmtId="0" fontId="4" fillId="0" borderId="0" xfId="0" applyFont="1"/>
    <xf numFmtId="0" fontId="3" fillId="0" borderId="2" xfId="0" applyNumberFormat="1" applyFont="1" applyBorder="1"/>
    <xf numFmtId="164" fontId="4" fillId="0" borderId="7" xfId="0" applyNumberFormat="1" applyFont="1" applyBorder="1"/>
    <xf numFmtId="0" fontId="4" fillId="0" borderId="8" xfId="0" applyNumberFormat="1" applyFont="1" applyBorder="1" applyAlignment="1">
      <alignment horizontal="left"/>
    </xf>
    <xf numFmtId="0" fontId="4" fillId="0" borderId="0" xfId="0" applyNumberFormat="1" applyFont="1" applyBorder="1" applyAlignment="1">
      <alignment horizontal="left"/>
    </xf>
    <xf numFmtId="0" fontId="3" fillId="0" borderId="16" xfId="0" applyFont="1" applyBorder="1"/>
    <xf numFmtId="0" fontId="4" fillId="0" borderId="17" xfId="0" applyFont="1" applyBorder="1" applyAlignment="1">
      <alignment horizontal="left"/>
    </xf>
    <xf numFmtId="0" fontId="4" fillId="0" borderId="0" xfId="0" applyFont="1" applyAlignment="1">
      <alignment horizontal="right"/>
    </xf>
    <xf numFmtId="0" fontId="4" fillId="0" borderId="0" xfId="0" applyFont="1" applyFill="1"/>
    <xf numFmtId="0" fontId="4" fillId="0" borderId="21" xfId="0" applyFont="1" applyBorder="1"/>
    <xf numFmtId="0" fontId="4" fillId="0" borderId="22" xfId="0" applyNumberFormat="1" applyFont="1" applyBorder="1"/>
    <xf numFmtId="0" fontId="4" fillId="0" borderId="23" xfId="0" applyNumberFormat="1" applyFont="1" applyBorder="1" applyAlignment="1">
      <alignment horizontal="left"/>
    </xf>
    <xf numFmtId="164" fontId="4" fillId="0" borderId="0" xfId="0" applyNumberFormat="1" applyFont="1" applyAlignment="1">
      <alignment horizontal="right"/>
    </xf>
    <xf numFmtId="0" fontId="3" fillId="0" borderId="0" xfId="0" applyNumberFormat="1" applyFont="1" applyBorder="1"/>
    <xf numFmtId="0" fontId="4" fillId="0" borderId="9" xfId="0" applyNumberFormat="1" applyFont="1" applyBorder="1" applyAlignment="1">
      <alignment horizontal="left"/>
    </xf>
    <xf numFmtId="0" fontId="3" fillId="0" borderId="0" xfId="0" applyFont="1" applyAlignment="1">
      <alignment horizontal="right"/>
    </xf>
    <xf numFmtId="0" fontId="4" fillId="0" borderId="24" xfId="0" applyFont="1" applyBorder="1"/>
    <xf numFmtId="0" fontId="4" fillId="0" borderId="13" xfId="0" applyNumberFormat="1" applyFont="1" applyBorder="1"/>
    <xf numFmtId="0" fontId="4" fillId="0" borderId="25" xfId="0" applyNumberFormat="1" applyFont="1" applyBorder="1" applyAlignment="1">
      <alignment horizontal="left"/>
    </xf>
    <xf numFmtId="0" fontId="3" fillId="0" borderId="4" xfId="0" applyFont="1" applyBorder="1"/>
    <xf numFmtId="0" fontId="4" fillId="0" borderId="4" xfId="0" applyFont="1" applyBorder="1"/>
    <xf numFmtId="0" fontId="4" fillId="0" borderId="4" xfId="0" applyFont="1" applyBorder="1" applyAlignment="1">
      <alignment horizontal="left"/>
    </xf>
    <xf numFmtId="0" fontId="4" fillId="0" borderId="4" xfId="0" applyFont="1" applyFill="1" applyBorder="1"/>
    <xf numFmtId="20" fontId="7" fillId="0" borderId="0" xfId="0" applyNumberFormat="1" applyFont="1" applyAlignment="1">
      <alignment wrapText="1"/>
    </xf>
    <xf numFmtId="20" fontId="7" fillId="0" borderId="15" xfId="0" applyNumberFormat="1" applyFont="1" applyBorder="1" applyAlignment="1">
      <alignment wrapText="1"/>
    </xf>
    <xf numFmtId="0" fontId="4" fillId="2" borderId="0" xfId="0" applyFont="1" applyFill="1" applyAlignment="1">
      <alignment horizontal="left"/>
    </xf>
    <xf numFmtId="0" fontId="4" fillId="2" borderId="29" xfId="0" applyFont="1" applyFill="1" applyBorder="1"/>
    <xf numFmtId="0" fontId="4" fillId="2" borderId="31" xfId="0" applyFont="1" applyFill="1" applyBorder="1" applyAlignment="1">
      <alignment horizontal="left"/>
    </xf>
    <xf numFmtId="0" fontId="4" fillId="0" borderId="32" xfId="0" applyFont="1" applyBorder="1"/>
    <xf numFmtId="0" fontId="4" fillId="0" borderId="33" xfId="0" applyFont="1" applyBorder="1" applyAlignment="1">
      <alignment horizontal="left"/>
    </xf>
    <xf numFmtId="0" fontId="8" fillId="0" borderId="6" xfId="0" applyFont="1" applyBorder="1"/>
    <xf numFmtId="164" fontId="8" fillId="0" borderId="0" xfId="0" applyNumberFormat="1" applyFont="1" applyBorder="1"/>
    <xf numFmtId="0" fontId="8" fillId="0" borderId="9" xfId="0" applyNumberFormat="1" applyFont="1" applyBorder="1" applyAlignment="1">
      <alignment horizontal="left"/>
    </xf>
    <xf numFmtId="0" fontId="8" fillId="0" borderId="0" xfId="0" applyNumberFormat="1" applyFont="1" applyBorder="1" applyAlignment="1">
      <alignment horizontal="left"/>
    </xf>
    <xf numFmtId="0" fontId="7" fillId="0" borderId="18" xfId="0" applyFont="1" applyBorder="1"/>
    <xf numFmtId="0" fontId="9" fillId="0" borderId="19" xfId="0" applyNumberFormat="1" applyFont="1" applyBorder="1" applyAlignment="1">
      <alignment horizontal="left"/>
    </xf>
    <xf numFmtId="0" fontId="7" fillId="0" borderId="20" xfId="0" applyNumberFormat="1" applyFont="1" applyBorder="1" applyAlignment="1">
      <alignment horizontal="left"/>
    </xf>
    <xf numFmtId="0" fontId="7" fillId="0" borderId="0" xfId="0" applyNumberFormat="1" applyFont="1" applyBorder="1" applyAlignment="1">
      <alignment horizontal="left"/>
    </xf>
    <xf numFmtId="164" fontId="8" fillId="0" borderId="3" xfId="0" applyNumberFormat="1" applyFont="1" applyBorder="1"/>
    <xf numFmtId="0" fontId="8" fillId="0" borderId="4" xfId="0" applyNumberFormat="1" applyFont="1" applyBorder="1"/>
    <xf numFmtId="0" fontId="8" fillId="0" borderId="5" xfId="0" applyNumberFormat="1" applyFont="1" applyBorder="1" applyAlignment="1">
      <alignment horizontal="left"/>
    </xf>
    <xf numFmtId="0" fontId="0" fillId="0" borderId="0" xfId="0" applyFill="1"/>
    <xf numFmtId="0" fontId="4" fillId="0" borderId="10" xfId="0" applyFont="1" applyBorder="1"/>
    <xf numFmtId="0" fontId="3" fillId="0" borderId="30" xfId="0" applyFont="1" applyBorder="1"/>
    <xf numFmtId="0" fontId="4" fillId="0" borderId="11" xfId="0" applyFont="1" applyBorder="1" applyAlignment="1">
      <alignment horizontal="left"/>
    </xf>
    <xf numFmtId="164" fontId="4" fillId="2" borderId="30" xfId="0" applyNumberFormat="1" applyFont="1" applyFill="1" applyBorder="1"/>
    <xf numFmtId="164" fontId="4" fillId="0" borderId="1" xfId="0" applyNumberFormat="1" applyFont="1" applyBorder="1"/>
    <xf numFmtId="0" fontId="4" fillId="0" borderId="0" xfId="0" applyNumberFormat="1" applyFont="1" applyBorder="1"/>
    <xf numFmtId="0" fontId="10" fillId="0" borderId="1" xfId="0" applyFont="1" applyFill="1" applyBorder="1" applyAlignment="1">
      <alignment horizontal="center" vertical="center"/>
    </xf>
    <xf numFmtId="49" fontId="10" fillId="0" borderId="1" xfId="0" applyNumberFormat="1" applyFont="1" applyFill="1" applyBorder="1" applyAlignment="1">
      <alignment horizontal="center" vertical="center"/>
    </xf>
    <xf numFmtId="164" fontId="4" fillId="0" borderId="0" xfId="0" applyNumberFormat="1" applyFont="1"/>
    <xf numFmtId="0" fontId="4" fillId="0" borderId="0" xfId="0" applyFont="1" applyAlignment="1">
      <alignment horizontal="center"/>
    </xf>
    <xf numFmtId="0" fontId="4" fillId="0" borderId="34" xfId="0" applyFont="1" applyBorder="1"/>
    <xf numFmtId="9" fontId="4" fillId="0" borderId="28" xfId="0" applyNumberFormat="1" applyFont="1" applyBorder="1"/>
    <xf numFmtId="0" fontId="4" fillId="0" borderId="35" xfId="0" applyFont="1" applyBorder="1"/>
    <xf numFmtId="164" fontId="4" fillId="0" borderId="28" xfId="0" applyNumberFormat="1" applyFont="1" applyBorder="1"/>
    <xf numFmtId="0" fontId="4" fillId="0" borderId="36" xfId="0" applyFont="1" applyBorder="1" applyAlignment="1">
      <alignment horizontal="left"/>
    </xf>
    <xf numFmtId="0" fontId="4" fillId="2" borderId="30" xfId="0" applyFont="1" applyFill="1" applyBorder="1"/>
    <xf numFmtId="0" fontId="4" fillId="0" borderId="37" xfId="0" applyFont="1" applyBorder="1"/>
    <xf numFmtId="0" fontId="11" fillId="0" borderId="1" xfId="0" applyFont="1" applyFill="1" applyBorder="1" applyAlignment="1">
      <alignment vertical="center" wrapText="1"/>
    </xf>
    <xf numFmtId="0" fontId="11" fillId="3" borderId="1" xfId="0" applyFont="1" applyFill="1" applyBorder="1" applyAlignment="1">
      <alignment vertical="center" wrapText="1"/>
    </xf>
    <xf numFmtId="0" fontId="4" fillId="0" borderId="13" xfId="1" applyFont="1" applyBorder="1"/>
    <xf numFmtId="0" fontId="4" fillId="0" borderId="19" xfId="1" applyFont="1" applyBorder="1"/>
    <xf numFmtId="0" fontId="6" fillId="0" borderId="38" xfId="2" applyFont="1" applyFill="1" applyBorder="1" applyAlignment="1">
      <alignment wrapText="1"/>
    </xf>
    <xf numFmtId="0" fontId="0" fillId="0" borderId="0" xfId="0" applyBorder="1"/>
    <xf numFmtId="0" fontId="0" fillId="0" borderId="0" xfId="0" applyFill="1" applyAlignment="1">
      <alignment horizontal="left"/>
    </xf>
    <xf numFmtId="0" fontId="0" fillId="0" borderId="0" xfId="0" applyFill="1" applyBorder="1"/>
    <xf numFmtId="0" fontId="0" fillId="0" borderId="0" xfId="0" applyAlignment="1">
      <alignment horizontal="center"/>
    </xf>
    <xf numFmtId="0" fontId="13" fillId="0" borderId="0" xfId="0" applyFont="1" applyBorder="1" applyAlignment="1">
      <alignment horizontal="center"/>
    </xf>
    <xf numFmtId="0" fontId="14" fillId="0" borderId="0" xfId="0" applyFont="1"/>
    <xf numFmtId="0" fontId="15" fillId="0" borderId="0" xfId="4" applyFont="1" applyFill="1" applyBorder="1" applyAlignment="1">
      <alignment wrapText="1"/>
    </xf>
    <xf numFmtId="0" fontId="14" fillId="0" borderId="0" xfId="0" applyFont="1" applyBorder="1"/>
    <xf numFmtId="0" fontId="0" fillId="0" borderId="0" xfId="0" applyFill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quotePrefix="1" applyNumberFormat="1" applyFill="1" applyBorder="1"/>
    <xf numFmtId="0" fontId="1" fillId="0" borderId="0" xfId="0" applyFont="1" applyBorder="1" applyAlignment="1">
      <alignment horizontal="left"/>
    </xf>
    <xf numFmtId="0" fontId="0" fillId="0" borderId="0" xfId="0" applyFill="1" applyBorder="1" applyAlignment="1">
      <alignment horizontal="left"/>
    </xf>
    <xf numFmtId="1" fontId="17" fillId="0" borderId="0" xfId="5" applyNumberFormat="1" applyFont="1" applyFill="1" applyBorder="1" applyAlignment="1">
      <alignment horizontal="right" wrapText="1"/>
    </xf>
    <xf numFmtId="0" fontId="0" fillId="0" borderId="0" xfId="0" applyFill="1" applyBorder="1" applyAlignment="1">
      <alignment horizontal="center"/>
    </xf>
    <xf numFmtId="0" fontId="10" fillId="0" borderId="34" xfId="0" applyFont="1" applyFill="1" applyBorder="1" applyAlignment="1">
      <alignment horizontal="center" vertical="center"/>
    </xf>
    <xf numFmtId="49" fontId="10" fillId="0" borderId="40" xfId="0" applyNumberFormat="1" applyFont="1" applyFill="1" applyBorder="1" applyAlignment="1">
      <alignment horizontal="center" vertical="center"/>
    </xf>
    <xf numFmtId="0" fontId="15" fillId="0" borderId="1" xfId="6" applyFont="1" applyBorder="1" applyAlignment="1">
      <alignment horizontal="center" vertical="center"/>
    </xf>
    <xf numFmtId="0" fontId="15" fillId="0" borderId="1" xfId="6" applyFont="1" applyFill="1" applyBorder="1" applyAlignment="1">
      <alignment horizontal="center" vertical="center"/>
    </xf>
    <xf numFmtId="0" fontId="18" fillId="0" borderId="1" xfId="6" applyFont="1" applyBorder="1" applyAlignment="1">
      <alignment horizontal="center" vertical="center"/>
    </xf>
    <xf numFmtId="0" fontId="18" fillId="3" borderId="1" xfId="6" applyFont="1" applyFill="1" applyBorder="1" applyAlignment="1">
      <alignment horizontal="center" vertical="center"/>
    </xf>
    <xf numFmtId="0" fontId="15" fillId="3" borderId="1" xfId="6" applyFont="1" applyFill="1" applyBorder="1" applyAlignment="1">
      <alignment horizontal="center" vertical="center"/>
    </xf>
    <xf numFmtId="0" fontId="0" fillId="4" borderId="12" xfId="0" applyFill="1" applyBorder="1" applyAlignment="1">
      <alignment horizontal="center"/>
    </xf>
    <xf numFmtId="0" fontId="1" fillId="4" borderId="27" xfId="0" applyFont="1" applyFill="1" applyBorder="1" applyAlignment="1">
      <alignment horizontal="center"/>
    </xf>
    <xf numFmtId="0" fontId="1" fillId="4" borderId="14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1" fillId="4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/>
    </xf>
    <xf numFmtId="15" fontId="4" fillId="0" borderId="39" xfId="0" applyNumberFormat="1" applyFont="1" applyBorder="1" applyAlignment="1">
      <alignment horizontal="center"/>
    </xf>
    <xf numFmtId="0" fontId="4" fillId="0" borderId="0" xfId="1" applyFont="1" applyAlignment="1">
      <alignment horizontal="center" vertical="center" wrapText="1"/>
    </xf>
  </cellXfs>
  <cellStyles count="8">
    <cellStyle name="Excel Built-in Normal" xfId="6"/>
    <cellStyle name="Excel Built-in Normal 1" xfId="7"/>
    <cellStyle name="Normal" xfId="0" builtinId="0"/>
    <cellStyle name="Normal 2" xfId="1"/>
    <cellStyle name="Normal 3" xfId="3"/>
    <cellStyle name="Normal_Feuil1" xfId="2"/>
    <cellStyle name="Normal_OdstrelnaLista" xfId="5"/>
    <cellStyle name="Normal_Sheet3" xfId="4"/>
  </cellStyles>
  <dxfs count="50">
    <dxf>
      <font>
        <b/>
        <i val="0"/>
        <u/>
        <color rgb="FFC00000"/>
      </font>
    </dxf>
    <dxf>
      <font>
        <b/>
        <i val="0"/>
        <u/>
        <color rgb="FFC00000"/>
      </font>
    </dxf>
    <dxf>
      <font>
        <b/>
        <i val="0"/>
        <u/>
        <color rgb="FFC00000"/>
      </font>
    </dxf>
    <dxf>
      <font>
        <b/>
        <i val="0"/>
        <u/>
        <color rgb="FFC00000"/>
      </font>
    </dxf>
    <dxf>
      <font>
        <b/>
        <i val="0"/>
        <u/>
        <color rgb="FFC00000"/>
      </font>
    </dxf>
    <dxf>
      <font>
        <b/>
        <i val="0"/>
        <u/>
        <color rgb="FFC00000"/>
      </font>
    </dxf>
    <dxf>
      <font>
        <b/>
        <i val="0"/>
        <u/>
        <color rgb="FFC00000"/>
      </font>
    </dxf>
    <dxf>
      <font>
        <b/>
        <i val="0"/>
        <u/>
        <color rgb="FFC00000"/>
      </font>
    </dxf>
    <dxf>
      <font>
        <b/>
        <i val="0"/>
        <u/>
        <color rgb="FFC00000"/>
      </font>
    </dxf>
    <dxf>
      <font>
        <b/>
        <i val="0"/>
        <u/>
        <color rgb="FFC00000"/>
      </font>
    </dxf>
    <dxf>
      <font>
        <b/>
        <i val="0"/>
        <u/>
        <color rgb="FFC00000"/>
      </font>
    </dxf>
    <dxf>
      <font>
        <b/>
        <i val="0"/>
        <u/>
        <color rgb="FFC00000"/>
      </font>
    </dxf>
    <dxf>
      <font>
        <b/>
        <i val="0"/>
        <u/>
        <color rgb="FFC00000"/>
      </font>
    </dxf>
    <dxf>
      <font>
        <b/>
        <i val="0"/>
        <u/>
        <color rgb="FFC00000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u/>
        <color rgb="FFC00000"/>
      </font>
    </dxf>
    <dxf>
      <fill>
        <patternFill>
          <bgColor rgb="FFFFFF00"/>
        </patternFill>
      </fill>
    </dxf>
    <dxf>
      <font>
        <b/>
        <i val="0"/>
        <color rgb="FFC00000"/>
      </font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C00000"/>
      </font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u/>
        <color rgb="FFC00000"/>
      </font>
    </dxf>
    <dxf>
      <font>
        <b/>
        <i val="0"/>
        <u/>
        <color rgb="FFC00000"/>
      </font>
    </dxf>
    <dxf>
      <font>
        <b/>
        <i val="0"/>
        <u/>
        <color rgb="FFC00000"/>
      </font>
    </dxf>
    <dxf>
      <font>
        <b/>
        <i val="0"/>
        <u/>
        <color rgb="FFC00000"/>
      </font>
    </dxf>
    <dxf>
      <font>
        <b/>
        <i val="0"/>
        <u/>
        <color rgb="FFC00000"/>
      </font>
    </dxf>
    <dxf>
      <font>
        <b/>
        <i val="0"/>
        <u/>
        <color rgb="FFC00000"/>
      </font>
    </dxf>
    <dxf>
      <font>
        <b/>
        <i val="0"/>
        <u/>
        <color rgb="FFC00000"/>
      </font>
    </dxf>
    <dxf>
      <font>
        <b/>
        <i val="0"/>
        <u/>
        <color rgb="FFC00000"/>
      </font>
    </dxf>
    <dxf>
      <font>
        <b/>
        <i val="0"/>
        <u/>
        <color rgb="FFC00000"/>
      </font>
    </dxf>
    <dxf>
      <fill>
        <patternFill>
          <bgColor rgb="FFFFFF00"/>
        </patternFill>
      </fill>
    </dxf>
    <dxf>
      <font>
        <b/>
        <i val="0"/>
        <u/>
        <color rgb="FFC00000"/>
      </font>
    </dxf>
    <dxf>
      <font>
        <b/>
        <i val="0"/>
        <u/>
        <color rgb="FFC00000"/>
      </font>
    </dxf>
    <dxf>
      <font>
        <b/>
        <i val="0"/>
        <u/>
        <color rgb="FFC00000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u/>
        <color rgb="FFC00000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u/>
        <color rgb="FFC00000"/>
      </font>
    </dxf>
    <dxf>
      <font>
        <b/>
        <i val="0"/>
        <u/>
        <color rgb="FFC00000"/>
      </font>
    </dxf>
    <dxf>
      <font>
        <b/>
        <i val="0"/>
        <u/>
        <color rgb="FFC00000"/>
      </font>
    </dxf>
    <dxf>
      <font>
        <b/>
        <i val="0"/>
        <u/>
        <color rgb="FFC00000"/>
      </font>
    </dxf>
    <dxf>
      <font>
        <b/>
        <i val="0"/>
        <u/>
        <color rgb="FFC00000"/>
      </font>
    </dxf>
    <dxf>
      <font>
        <b/>
        <i val="0"/>
        <u/>
        <color rgb="FFC00000"/>
      </font>
    </dxf>
    <dxf>
      <font>
        <b/>
        <i val="0"/>
        <u/>
        <color rgb="FFC00000"/>
      </font>
    </dxf>
    <dxf>
      <font>
        <b/>
        <i val="0"/>
        <u/>
        <color rgb="FFC00000"/>
      </font>
    </dxf>
    <dxf>
      <fill>
        <patternFill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K46"/>
  <sheetViews>
    <sheetView zoomScale="85" zoomScaleNormal="85" zoomScaleSheetLayoutView="115" workbookViewId="0">
      <selection activeCell="E20" sqref="E20"/>
    </sheetView>
  </sheetViews>
  <sheetFormatPr defaultColWidth="11.42578125" defaultRowHeight="15" x14ac:dyDescent="0.25"/>
  <cols>
    <col min="1" max="1" width="22" style="3" customWidth="1"/>
    <col min="2" max="2" width="7" style="3" customWidth="1"/>
    <col min="3" max="3" width="13.140625" style="3" customWidth="1"/>
    <col min="4" max="4" width="4.42578125" style="3" customWidth="1"/>
    <col min="5" max="5" width="23.42578125" style="2" customWidth="1"/>
    <col min="6" max="6" width="11.7109375" style="3" bestFit="1" customWidth="1"/>
    <col min="7" max="7" width="6.42578125" style="1" customWidth="1"/>
    <col min="8" max="8" width="11.42578125" style="1" customWidth="1"/>
    <col min="9" max="16384" width="11.42578125" style="3"/>
  </cols>
  <sheetData>
    <row r="1" spans="1:11" ht="15.75" thickBot="1" x14ac:dyDescent="0.3">
      <c r="A1" s="29" t="s">
        <v>43</v>
      </c>
      <c r="B1" s="30"/>
      <c r="C1" s="30"/>
      <c r="D1" s="30"/>
      <c r="E1" s="31"/>
      <c r="F1" s="30"/>
      <c r="G1" s="32"/>
    </row>
    <row r="2" spans="1:11" s="1" customFormat="1" x14ac:dyDescent="0.25">
      <c r="A2" s="52" t="s">
        <v>8</v>
      </c>
      <c r="B2" s="53">
        <v>1696</v>
      </c>
      <c r="C2" s="54" t="s">
        <v>42</v>
      </c>
      <c r="D2" s="7"/>
      <c r="E2" s="8" t="s">
        <v>30</v>
      </c>
      <c r="F2" s="106">
        <v>42929</v>
      </c>
      <c r="G2" s="106"/>
      <c r="J2" s="1" t="s">
        <v>44</v>
      </c>
      <c r="K2" s="1">
        <f>2/20</f>
        <v>0.1</v>
      </c>
    </row>
    <row r="3" spans="1:11" s="1" customFormat="1" x14ac:dyDescent="0.25">
      <c r="A3" s="5" t="s">
        <v>9</v>
      </c>
      <c r="B3" s="9">
        <f>B5*K2</f>
        <v>2</v>
      </c>
      <c r="C3" s="6" t="s">
        <v>10</v>
      </c>
      <c r="D3" s="7"/>
      <c r="E3" s="10" t="s">
        <v>31</v>
      </c>
      <c r="F3" s="105" t="s">
        <v>47</v>
      </c>
      <c r="G3" s="105"/>
      <c r="J3" s="1" t="s">
        <v>45</v>
      </c>
      <c r="K3" s="1">
        <f>3/20</f>
        <v>0.15</v>
      </c>
    </row>
    <row r="4" spans="1:11" s="1" customFormat="1" x14ac:dyDescent="0.25">
      <c r="A4" s="5" t="s">
        <v>34</v>
      </c>
      <c r="B4" s="62">
        <f>K3*B5</f>
        <v>3</v>
      </c>
      <c r="C4" s="6" t="s">
        <v>10</v>
      </c>
      <c r="D4" s="7"/>
      <c r="E4" s="10"/>
      <c r="F4" s="61"/>
      <c r="G4" s="61"/>
    </row>
    <row r="5" spans="1:11" s="1" customFormat="1" ht="15.75" thickBot="1" x14ac:dyDescent="0.3">
      <c r="A5" s="5" t="s">
        <v>11</v>
      </c>
      <c r="B5" s="62">
        <v>20</v>
      </c>
      <c r="C5" s="6" t="s">
        <v>10</v>
      </c>
      <c r="D5" s="7"/>
      <c r="E5" s="7"/>
      <c r="F5" s="33"/>
      <c r="G5" s="34"/>
    </row>
    <row r="6" spans="1:11" s="1" customFormat="1" x14ac:dyDescent="0.25">
      <c r="A6" s="36"/>
      <c r="B6" s="67"/>
      <c r="C6" s="37"/>
      <c r="D6" s="35"/>
      <c r="E6" s="36" t="s">
        <v>12</v>
      </c>
      <c r="F6" s="55">
        <f>(B5-B3)*B2-SUM(F7:F8)-B2*B4</f>
        <v>8140.7999999999993</v>
      </c>
      <c r="G6" s="37" t="s">
        <v>13</v>
      </c>
    </row>
    <row r="7" spans="1:11" s="1" customFormat="1" x14ac:dyDescent="0.25">
      <c r="A7" s="38" t="s">
        <v>32</v>
      </c>
      <c r="B7" s="9">
        <v>2</v>
      </c>
      <c r="C7" s="39" t="s">
        <v>14</v>
      </c>
      <c r="D7" s="7"/>
      <c r="E7" s="38" t="s">
        <v>32</v>
      </c>
      <c r="F7" s="56">
        <f>((B5/B7)*B2)</f>
        <v>16960</v>
      </c>
      <c r="G7" s="39" t="s">
        <v>13</v>
      </c>
    </row>
    <row r="8" spans="1:11" s="1" customFormat="1" ht="15.75" thickBot="1" x14ac:dyDescent="0.3">
      <c r="A8" s="68" t="s">
        <v>33</v>
      </c>
      <c r="B8" s="63">
        <v>0.01</v>
      </c>
      <c r="C8" s="66"/>
      <c r="D8" s="7"/>
      <c r="E8" s="64" t="s">
        <v>33</v>
      </c>
      <c r="F8" s="65">
        <f>(B5*B2)*B8</f>
        <v>339.2</v>
      </c>
      <c r="G8" s="66" t="s">
        <v>13</v>
      </c>
    </row>
    <row r="9" spans="1:11" s="1" customFormat="1" ht="15.75" thickBot="1" x14ac:dyDescent="0.3">
      <c r="A9" s="10"/>
      <c r="B9" s="8"/>
      <c r="C9" s="7"/>
      <c r="D9" s="7"/>
      <c r="E9" s="10"/>
      <c r="F9" s="10"/>
      <c r="G9" s="7"/>
    </row>
    <row r="10" spans="1:11" s="1" customFormat="1" ht="15.75" thickBot="1" x14ac:dyDescent="0.3">
      <c r="A10" s="11" t="s">
        <v>28</v>
      </c>
      <c r="B10" s="12"/>
      <c r="C10" s="13"/>
      <c r="D10" s="14"/>
      <c r="E10" s="10" t="s">
        <v>15</v>
      </c>
      <c r="F10" s="60">
        <f>SUM(F6:F8)</f>
        <v>25440</v>
      </c>
      <c r="G10" s="7" t="s">
        <v>10</v>
      </c>
    </row>
    <row r="11" spans="1:11" s="1" customFormat="1" ht="15.75" thickBot="1" x14ac:dyDescent="0.3">
      <c r="A11" s="40" t="s">
        <v>16</v>
      </c>
      <c r="B11" s="41" t="s">
        <v>17</v>
      </c>
      <c r="C11" s="42" t="s">
        <v>35</v>
      </c>
      <c r="D11" s="43"/>
      <c r="E11" s="10" t="s">
        <v>18</v>
      </c>
      <c r="F11" s="15">
        <f>(B5-B3-B4)</f>
        <v>15</v>
      </c>
      <c r="G11" s="16" t="s">
        <v>10</v>
      </c>
    </row>
    <row r="12" spans="1:11" s="1" customFormat="1" x14ac:dyDescent="0.25">
      <c r="A12" s="44" t="s">
        <v>19</v>
      </c>
      <c r="B12" s="45">
        <v>45</v>
      </c>
      <c r="C12" s="46"/>
      <c r="D12" s="47"/>
      <c r="E12" s="7"/>
      <c r="F12" s="17"/>
      <c r="G12" s="18"/>
    </row>
    <row r="13" spans="1:11" s="1" customFormat="1" x14ac:dyDescent="0.25">
      <c r="A13" s="19" t="s">
        <v>20</v>
      </c>
      <c r="B13" s="20" t="s">
        <v>36</v>
      </c>
      <c r="C13" s="21" t="s">
        <v>21</v>
      </c>
      <c r="D13" s="14"/>
      <c r="E13" s="7" t="s">
        <v>22</v>
      </c>
      <c r="F13" s="22">
        <f>((F10+F11)/8)*0.928</f>
        <v>2952.78</v>
      </c>
      <c r="G13" s="7" t="s">
        <v>10</v>
      </c>
    </row>
    <row r="14" spans="1:11" s="1" customFormat="1" x14ac:dyDescent="0.25">
      <c r="A14" s="5" t="s">
        <v>23</v>
      </c>
      <c r="B14" s="23" t="s">
        <v>37</v>
      </c>
      <c r="C14" s="24" t="s">
        <v>29</v>
      </c>
      <c r="D14" s="14"/>
      <c r="E14" s="7"/>
      <c r="F14" s="25"/>
      <c r="G14" s="18"/>
    </row>
    <row r="15" spans="1:11" s="1" customFormat="1" x14ac:dyDescent="0.25">
      <c r="A15" s="26" t="s">
        <v>24</v>
      </c>
      <c r="B15" s="27" t="s">
        <v>25</v>
      </c>
      <c r="C15" s="28" t="s">
        <v>26</v>
      </c>
      <c r="D15" s="14"/>
      <c r="E15" s="7"/>
      <c r="F15" s="22">
        <v>740</v>
      </c>
      <c r="G15" s="18"/>
    </row>
    <row r="16" spans="1:11" s="1" customFormat="1" ht="15.75" thickBot="1" x14ac:dyDescent="0.3">
      <c r="A16" s="48" t="s">
        <v>27</v>
      </c>
      <c r="B16" s="49" t="s">
        <v>25</v>
      </c>
      <c r="C16" s="50" t="s">
        <v>38</v>
      </c>
      <c r="D16" s="43"/>
      <c r="E16" s="7"/>
      <c r="F16" s="17"/>
      <c r="G16" s="18"/>
    </row>
    <row r="17" spans="1:10" s="1" customFormat="1" x14ac:dyDescent="0.25">
      <c r="A17" s="8"/>
      <c r="B17" s="57"/>
      <c r="C17" s="14"/>
      <c r="D17" s="14"/>
      <c r="E17" s="7"/>
      <c r="F17" s="17"/>
      <c r="G17" s="18"/>
    </row>
    <row r="18" spans="1:10" x14ac:dyDescent="0.25">
      <c r="A18" s="71" t="s">
        <v>39</v>
      </c>
      <c r="B18" s="71"/>
      <c r="C18" s="3" t="s">
        <v>49</v>
      </c>
      <c r="D18" s="72"/>
      <c r="E18" s="1" t="s">
        <v>67</v>
      </c>
      <c r="F18" s="72"/>
      <c r="G18" s="71"/>
    </row>
    <row r="19" spans="1:10" s="1" customFormat="1" ht="23.25" customHeight="1" x14ac:dyDescent="0.25">
      <c r="A19" s="72" t="s">
        <v>40</v>
      </c>
      <c r="B19" s="72"/>
      <c r="C19" s="1" t="s">
        <v>50</v>
      </c>
      <c r="D19" s="72"/>
      <c r="E19" s="72" t="s">
        <v>68</v>
      </c>
      <c r="F19" s="72"/>
      <c r="G19" s="73"/>
    </row>
    <row r="20" spans="1:10" s="1" customFormat="1" ht="23.25" customHeight="1" x14ac:dyDescent="0.25">
      <c r="A20" s="72" t="s">
        <v>41</v>
      </c>
      <c r="B20" s="72"/>
      <c r="C20" s="1" t="s">
        <v>51</v>
      </c>
      <c r="D20" s="72"/>
      <c r="E20" s="1" t="s">
        <v>55</v>
      </c>
      <c r="G20" s="73"/>
    </row>
    <row r="21" spans="1:10" s="1" customFormat="1" x14ac:dyDescent="0.25">
      <c r="A21" s="3"/>
      <c r="B21" s="3"/>
      <c r="C21" s="3" t="s">
        <v>52</v>
      </c>
      <c r="D21" s="3"/>
      <c r="E21" s="1" t="s">
        <v>56</v>
      </c>
      <c r="G21" s="4"/>
    </row>
    <row r="22" spans="1:10" s="1" customFormat="1" x14ac:dyDescent="0.25">
      <c r="A22" s="3"/>
      <c r="B22" s="3"/>
      <c r="C22" s="3" t="s">
        <v>53</v>
      </c>
      <c r="D22" s="3"/>
      <c r="E22" s="1" t="s">
        <v>57</v>
      </c>
      <c r="G22" s="4"/>
    </row>
    <row r="23" spans="1:10" s="1" customFormat="1" x14ac:dyDescent="0.25">
      <c r="A23" s="3"/>
      <c r="B23" s="3"/>
      <c r="C23" s="3" t="s">
        <v>54</v>
      </c>
      <c r="D23" s="3"/>
      <c r="E23" s="1" t="s">
        <v>58</v>
      </c>
      <c r="G23" s="4"/>
      <c r="I23" s="1">
        <f>106*4*1</f>
        <v>424</v>
      </c>
      <c r="J23" s="1">
        <f>I23*4</f>
        <v>1696</v>
      </c>
    </row>
    <row r="24" spans="1:10" s="1" customFormat="1" x14ac:dyDescent="0.25">
      <c r="A24" s="3"/>
      <c r="B24" s="3"/>
      <c r="C24" s="3"/>
      <c r="D24" s="3"/>
      <c r="E24" s="1" t="s">
        <v>59</v>
      </c>
      <c r="F24" s="3"/>
      <c r="G24" s="4"/>
    </row>
    <row r="25" spans="1:10" s="1" customFormat="1" ht="19.5" customHeight="1" x14ac:dyDescent="0.25">
      <c r="A25" s="107" t="s">
        <v>48</v>
      </c>
      <c r="B25" s="3"/>
      <c r="C25" s="3"/>
      <c r="D25" s="3"/>
      <c r="E25" s="1" t="s">
        <v>60</v>
      </c>
      <c r="F25" s="3"/>
      <c r="G25" s="4"/>
      <c r="I25" s="1" t="s">
        <v>46</v>
      </c>
    </row>
    <row r="26" spans="1:10" s="1" customFormat="1" x14ac:dyDescent="0.25">
      <c r="A26" s="107"/>
      <c r="B26" s="3"/>
      <c r="C26" s="3"/>
      <c r="D26" s="3"/>
      <c r="E26" s="1" t="s">
        <v>61</v>
      </c>
      <c r="F26" s="3"/>
      <c r="G26" s="4"/>
    </row>
    <row r="27" spans="1:10" s="1" customFormat="1" x14ac:dyDescent="0.25">
      <c r="A27" s="107"/>
      <c r="B27" s="3"/>
      <c r="C27" s="3"/>
      <c r="D27" s="3"/>
      <c r="E27" s="1" t="s">
        <v>62</v>
      </c>
      <c r="F27" s="3"/>
      <c r="G27" s="4"/>
    </row>
    <row r="28" spans="1:10" s="1" customFormat="1" x14ac:dyDescent="0.25">
      <c r="A28" s="107"/>
      <c r="B28" s="3"/>
      <c r="D28" s="3"/>
      <c r="E28" s="2" t="s">
        <v>63</v>
      </c>
      <c r="F28" s="3"/>
      <c r="G28" s="4"/>
    </row>
    <row r="29" spans="1:10" s="1" customFormat="1" x14ac:dyDescent="0.25">
      <c r="A29" s="107"/>
      <c r="B29" s="3"/>
      <c r="D29" s="3"/>
      <c r="E29" s="2" t="s">
        <v>64</v>
      </c>
      <c r="F29" s="3"/>
      <c r="G29" s="4"/>
    </row>
    <row r="30" spans="1:10" s="1" customFormat="1" x14ac:dyDescent="0.25">
      <c r="A30" s="107"/>
      <c r="B30" s="3"/>
      <c r="D30" s="3"/>
      <c r="E30" s="2" t="s">
        <v>65</v>
      </c>
      <c r="F30" s="3"/>
      <c r="G30" s="4"/>
    </row>
    <row r="31" spans="1:10" s="1" customFormat="1" x14ac:dyDescent="0.25">
      <c r="A31" s="107"/>
      <c r="B31" s="3"/>
      <c r="D31" s="3"/>
      <c r="E31" s="2" t="s">
        <v>66</v>
      </c>
      <c r="F31" s="3"/>
      <c r="G31" s="4"/>
    </row>
    <row r="32" spans="1:10" s="1" customFormat="1" x14ac:dyDescent="0.25">
      <c r="A32" s="3"/>
      <c r="B32" s="3"/>
      <c r="D32" s="3"/>
      <c r="E32" s="2"/>
      <c r="F32" s="3"/>
      <c r="G32" s="4"/>
    </row>
    <row r="33" spans="1:7" s="1" customFormat="1" x14ac:dyDescent="0.25">
      <c r="A33" s="3"/>
      <c r="B33" s="3"/>
      <c r="D33" s="3"/>
      <c r="E33" s="2"/>
      <c r="F33" s="3"/>
      <c r="G33" s="4"/>
    </row>
    <row r="34" spans="1:7" s="1" customFormat="1" x14ac:dyDescent="0.25">
      <c r="A34" s="3"/>
      <c r="B34" s="3"/>
      <c r="D34" s="3"/>
      <c r="E34" s="2"/>
      <c r="F34" s="3"/>
      <c r="G34" s="4"/>
    </row>
    <row r="35" spans="1:7" s="1" customFormat="1" x14ac:dyDescent="0.25">
      <c r="A35" s="3"/>
      <c r="B35" s="3"/>
      <c r="D35" s="3"/>
      <c r="E35" s="2"/>
      <c r="F35" s="3"/>
      <c r="G35" s="4"/>
    </row>
    <row r="36" spans="1:7" s="1" customFormat="1" x14ac:dyDescent="0.25">
      <c r="A36" s="3"/>
      <c r="B36" s="3"/>
      <c r="C36" s="3"/>
      <c r="D36" s="3"/>
      <c r="E36" s="2"/>
      <c r="F36" s="3"/>
      <c r="G36" s="4"/>
    </row>
    <row r="37" spans="1:7" s="1" customFormat="1" x14ac:dyDescent="0.25">
      <c r="A37" s="3"/>
      <c r="B37" s="3"/>
      <c r="C37" s="3"/>
      <c r="D37" s="3"/>
      <c r="E37" s="2"/>
      <c r="F37" s="3"/>
      <c r="G37" s="4"/>
    </row>
    <row r="38" spans="1:7" s="1" customFormat="1" x14ac:dyDescent="0.25">
      <c r="A38" s="3"/>
      <c r="B38" s="3"/>
      <c r="C38" s="3"/>
      <c r="D38" s="3"/>
      <c r="E38" s="2"/>
      <c r="F38" s="3"/>
      <c r="G38" s="4"/>
    </row>
    <row r="39" spans="1:7" s="1" customFormat="1" x14ac:dyDescent="0.25">
      <c r="A39" s="3"/>
      <c r="B39" s="3"/>
      <c r="C39" s="3"/>
      <c r="D39" s="3"/>
      <c r="E39" s="2"/>
      <c r="F39" s="3"/>
      <c r="G39" s="4"/>
    </row>
    <row r="40" spans="1:7" s="1" customFormat="1" x14ac:dyDescent="0.25">
      <c r="A40" s="3"/>
      <c r="B40" s="3"/>
      <c r="C40" s="3"/>
      <c r="D40" s="3"/>
      <c r="E40" s="2"/>
      <c r="F40" s="3"/>
      <c r="G40" s="4"/>
    </row>
    <row r="41" spans="1:7" s="1" customFormat="1" x14ac:dyDescent="0.25">
      <c r="A41" s="3"/>
      <c r="B41" s="3"/>
      <c r="C41" s="3"/>
      <c r="D41" s="3"/>
      <c r="E41" s="2"/>
      <c r="F41" s="3"/>
      <c r="G41" s="4"/>
    </row>
    <row r="42" spans="1:7" s="1" customFormat="1" x14ac:dyDescent="0.25">
      <c r="A42" s="3"/>
      <c r="B42" s="3"/>
      <c r="C42" s="3"/>
      <c r="D42" s="3"/>
      <c r="E42" s="2"/>
      <c r="F42" s="3"/>
      <c r="G42" s="4"/>
    </row>
    <row r="43" spans="1:7" s="1" customFormat="1" x14ac:dyDescent="0.25">
      <c r="A43" s="3"/>
      <c r="B43" s="3"/>
      <c r="C43" s="3"/>
      <c r="D43" s="3"/>
      <c r="E43" s="2"/>
      <c r="F43" s="3"/>
    </row>
    <row r="44" spans="1:7" s="1" customFormat="1" x14ac:dyDescent="0.25">
      <c r="A44" s="3"/>
      <c r="B44" s="3"/>
      <c r="C44" s="3"/>
      <c r="D44" s="3"/>
      <c r="E44" s="2"/>
      <c r="F44" s="3"/>
    </row>
    <row r="45" spans="1:7" s="1" customFormat="1" x14ac:dyDescent="0.25">
      <c r="A45" s="3"/>
      <c r="B45" s="3"/>
      <c r="C45" s="3"/>
      <c r="D45" s="3"/>
      <c r="E45" s="2"/>
      <c r="F45" s="3"/>
    </row>
    <row r="46" spans="1:7" s="1" customFormat="1" x14ac:dyDescent="0.25">
      <c r="A46" s="3"/>
      <c r="B46" s="3"/>
      <c r="C46" s="3"/>
      <c r="D46" s="3"/>
      <c r="E46" s="2"/>
      <c r="F46" s="3"/>
    </row>
  </sheetData>
  <mergeCells count="3">
    <mergeCell ref="F3:G3"/>
    <mergeCell ref="F2:G2"/>
    <mergeCell ref="A25:A31"/>
  </mergeCells>
  <pageMargins left="0.74803149606299213" right="0.74803149606299213" top="0.98425196850393704" bottom="0.98425196850393704" header="0.51181102362204722" footer="0.51181102362204722"/>
  <pageSetup paperSize="9" scale="97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BH475"/>
  <sheetViews>
    <sheetView tabSelected="1" zoomScale="85" zoomScaleNormal="85" workbookViewId="0">
      <selection activeCell="M11" sqref="M11"/>
    </sheetView>
  </sheetViews>
  <sheetFormatPr defaultRowHeight="15" x14ac:dyDescent="0.25"/>
  <cols>
    <col min="2" max="2" width="12.5703125" style="77" customWidth="1"/>
    <col min="3" max="4" width="11.140625" customWidth="1"/>
    <col min="5" max="5" width="10.85546875" customWidth="1"/>
    <col min="6" max="6" width="10.42578125" customWidth="1"/>
    <col min="7" max="7" width="10.28515625" bestFit="1" customWidth="1"/>
    <col min="8" max="8" width="11" customWidth="1"/>
    <col min="9" max="9" width="10.85546875" customWidth="1"/>
    <col min="10" max="10" width="11.28515625" customWidth="1"/>
    <col min="12" max="16" width="9.28515625" style="74" customWidth="1"/>
    <col min="17" max="60" width="9.140625" style="74"/>
  </cols>
  <sheetData>
    <row r="1" spans="1:60" x14ac:dyDescent="0.25">
      <c r="B1" s="100" t="s">
        <v>618</v>
      </c>
    </row>
    <row r="3" spans="1:60" s="51" customFormat="1" ht="15.75" thickBot="1" x14ac:dyDescent="0.3">
      <c r="A3" s="96"/>
      <c r="B3" s="98">
        <v>1</v>
      </c>
      <c r="C3" s="99">
        <v>2</v>
      </c>
      <c r="D3" s="98">
        <v>3</v>
      </c>
      <c r="E3" s="99">
        <v>4</v>
      </c>
      <c r="F3" s="98">
        <v>5</v>
      </c>
      <c r="G3" s="99">
        <v>6</v>
      </c>
      <c r="H3" s="98">
        <v>7</v>
      </c>
      <c r="I3" s="99">
        <v>8</v>
      </c>
      <c r="J3" s="98">
        <v>9</v>
      </c>
      <c r="K3" s="99">
        <v>10</v>
      </c>
      <c r="L3" s="98">
        <v>11</v>
      </c>
      <c r="M3" s="99">
        <v>12</v>
      </c>
      <c r="N3" s="76"/>
      <c r="O3" s="76"/>
      <c r="P3" s="76"/>
      <c r="Q3" s="76"/>
      <c r="R3" s="76"/>
      <c r="S3" s="76"/>
      <c r="T3" s="76"/>
      <c r="U3" s="76"/>
      <c r="V3" s="76"/>
      <c r="W3" s="76"/>
      <c r="X3" s="76"/>
      <c r="Y3" s="76"/>
      <c r="Z3" s="76"/>
      <c r="AA3" s="76"/>
      <c r="AB3" s="76"/>
      <c r="AC3" s="76"/>
      <c r="AD3" s="76"/>
      <c r="AE3" s="76"/>
      <c r="AF3" s="76"/>
      <c r="AG3" s="76"/>
      <c r="AH3" s="76"/>
      <c r="AI3" s="76"/>
      <c r="AJ3" s="76"/>
      <c r="AK3" s="76"/>
      <c r="AL3" s="76"/>
      <c r="AM3" s="76"/>
      <c r="AN3" s="76"/>
      <c r="AO3" s="76"/>
      <c r="AP3" s="76"/>
      <c r="AQ3" s="76"/>
      <c r="AR3" s="76"/>
      <c r="AS3" s="76"/>
      <c r="AT3" s="76"/>
      <c r="AU3" s="76"/>
      <c r="AV3" s="76"/>
      <c r="AW3" s="76"/>
      <c r="AX3" s="76"/>
      <c r="AY3" s="76"/>
      <c r="AZ3" s="76"/>
      <c r="BA3" s="76"/>
      <c r="BB3" s="76"/>
      <c r="BC3" s="76"/>
      <c r="BD3" s="76"/>
      <c r="BE3" s="76"/>
      <c r="BF3" s="76"/>
      <c r="BG3" s="76"/>
      <c r="BH3" s="76"/>
    </row>
    <row r="4" spans="1:60" ht="18.75" customHeight="1" thickTop="1" thickBot="1" x14ac:dyDescent="0.3">
      <c r="A4" s="97" t="s">
        <v>0</v>
      </c>
      <c r="B4" s="58" t="s">
        <v>74</v>
      </c>
      <c r="C4" s="58" t="s">
        <v>73</v>
      </c>
      <c r="D4" s="59" t="s">
        <v>72</v>
      </c>
      <c r="E4" s="59" t="s">
        <v>71</v>
      </c>
      <c r="F4" s="59" t="s">
        <v>70</v>
      </c>
      <c r="G4" s="59" t="s">
        <v>69</v>
      </c>
      <c r="H4" s="59" t="s">
        <v>118</v>
      </c>
      <c r="I4" s="59" t="s">
        <v>119</v>
      </c>
      <c r="J4" s="69" t="s">
        <v>133</v>
      </c>
      <c r="K4" s="69" t="s">
        <v>141</v>
      </c>
      <c r="L4" s="69" t="s">
        <v>148</v>
      </c>
      <c r="M4" s="69" t="s">
        <v>155</v>
      </c>
    </row>
    <row r="5" spans="1:60" ht="34.5" customHeight="1" thickTop="1" thickBot="1" x14ac:dyDescent="0.3">
      <c r="A5" s="97" t="s">
        <v>1</v>
      </c>
      <c r="B5" s="58" t="s">
        <v>79</v>
      </c>
      <c r="C5" s="58" t="s">
        <v>86</v>
      </c>
      <c r="D5" s="58" t="s">
        <v>93</v>
      </c>
      <c r="E5" s="59" t="s">
        <v>100</v>
      </c>
      <c r="F5" s="59" t="s">
        <v>78</v>
      </c>
      <c r="G5" s="59" t="s">
        <v>75</v>
      </c>
      <c r="H5" s="59" t="s">
        <v>120</v>
      </c>
      <c r="I5" s="59" t="s">
        <v>128</v>
      </c>
      <c r="J5" s="69" t="s">
        <v>135</v>
      </c>
      <c r="K5" s="69" t="s">
        <v>142</v>
      </c>
      <c r="L5" s="69" t="s">
        <v>149</v>
      </c>
      <c r="M5" s="69" t="s">
        <v>156</v>
      </c>
      <c r="N5" s="86"/>
      <c r="O5" s="86"/>
      <c r="P5" s="86"/>
      <c r="Q5" s="86"/>
      <c r="R5" s="86"/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6"/>
      <c r="AI5" s="86"/>
      <c r="AJ5" s="86"/>
      <c r="AK5" s="86"/>
      <c r="AL5" s="86"/>
      <c r="AM5" s="86"/>
      <c r="AN5" s="86"/>
      <c r="AO5" s="86"/>
      <c r="AP5" s="86"/>
      <c r="AQ5" s="86"/>
      <c r="AR5" s="86"/>
      <c r="AS5" s="86"/>
      <c r="AT5" s="86"/>
      <c r="AU5" s="86"/>
      <c r="AV5" s="86"/>
      <c r="AW5" s="86"/>
      <c r="AX5" s="86"/>
      <c r="AY5" s="86"/>
      <c r="AZ5" s="86"/>
      <c r="BA5" s="86"/>
      <c r="BB5" s="86"/>
      <c r="BC5" s="86"/>
      <c r="BD5" s="86"/>
      <c r="BE5" s="86"/>
      <c r="BF5" s="86"/>
      <c r="BG5" s="86"/>
    </row>
    <row r="6" spans="1:60" ht="34.5" customHeight="1" thickTop="1" thickBot="1" x14ac:dyDescent="0.3">
      <c r="A6" s="97" t="s">
        <v>2</v>
      </c>
      <c r="B6" s="58" t="s">
        <v>80</v>
      </c>
      <c r="C6" s="58" t="s">
        <v>87</v>
      </c>
      <c r="D6" s="58" t="s">
        <v>94</v>
      </c>
      <c r="E6" s="59" t="s">
        <v>101</v>
      </c>
      <c r="F6" s="59" t="s">
        <v>77</v>
      </c>
      <c r="G6" s="59" t="s">
        <v>112</v>
      </c>
      <c r="H6" s="59" t="s">
        <v>121</v>
      </c>
      <c r="I6" s="59" t="s">
        <v>129</v>
      </c>
      <c r="J6" s="69" t="s">
        <v>136</v>
      </c>
      <c r="K6" s="69" t="s">
        <v>143</v>
      </c>
      <c r="L6" s="69" t="s">
        <v>150</v>
      </c>
      <c r="M6" s="69" t="s">
        <v>157</v>
      </c>
    </row>
    <row r="7" spans="1:60" ht="34.5" customHeight="1" thickTop="1" thickBot="1" x14ac:dyDescent="0.3">
      <c r="A7" s="97" t="s">
        <v>3</v>
      </c>
      <c r="B7" s="58" t="s">
        <v>81</v>
      </c>
      <c r="C7" s="58" t="s">
        <v>88</v>
      </c>
      <c r="D7" s="58" t="s">
        <v>95</v>
      </c>
      <c r="E7" s="59" t="s">
        <v>102</v>
      </c>
      <c r="F7" s="59" t="s">
        <v>107</v>
      </c>
      <c r="G7" s="59" t="s">
        <v>113</v>
      </c>
      <c r="H7" s="59" t="s">
        <v>123</v>
      </c>
      <c r="I7" s="59" t="s">
        <v>76</v>
      </c>
      <c r="J7" s="69" t="s">
        <v>137</v>
      </c>
      <c r="K7" s="69" t="s">
        <v>144</v>
      </c>
      <c r="L7" s="69" t="s">
        <v>151</v>
      </c>
      <c r="M7" s="69" t="s">
        <v>159</v>
      </c>
      <c r="N7" s="76"/>
      <c r="O7" s="76"/>
      <c r="P7" s="76"/>
      <c r="Q7" s="76"/>
      <c r="R7" s="76"/>
      <c r="S7" s="76"/>
      <c r="T7" s="76"/>
    </row>
    <row r="8" spans="1:60" ht="34.5" customHeight="1" thickTop="1" thickBot="1" x14ac:dyDescent="0.3">
      <c r="A8" s="97" t="s">
        <v>4</v>
      </c>
      <c r="B8" s="58" t="s">
        <v>82</v>
      </c>
      <c r="C8" s="58" t="s">
        <v>89</v>
      </c>
      <c r="D8" s="58" t="s">
        <v>96</v>
      </c>
      <c r="E8" s="59" t="s">
        <v>103</v>
      </c>
      <c r="F8" s="59" t="s">
        <v>108</v>
      </c>
      <c r="G8" s="59" t="s">
        <v>114</v>
      </c>
      <c r="H8" s="59" t="s">
        <v>124</v>
      </c>
      <c r="I8" s="59" t="s">
        <v>130</v>
      </c>
      <c r="J8" s="69" t="s">
        <v>138</v>
      </c>
      <c r="K8" s="69" t="s">
        <v>145</v>
      </c>
      <c r="L8" s="69" t="s">
        <v>152</v>
      </c>
      <c r="M8" s="70" t="s">
        <v>627</v>
      </c>
      <c r="N8" s="86"/>
      <c r="O8" s="86"/>
      <c r="P8" s="86"/>
      <c r="Q8" s="86"/>
      <c r="R8" s="86"/>
      <c r="S8" s="86"/>
      <c r="T8" s="86"/>
      <c r="U8" s="86"/>
      <c r="V8" s="86"/>
      <c r="W8" s="86"/>
      <c r="X8" s="86"/>
      <c r="Y8" s="86"/>
      <c r="Z8" s="86"/>
      <c r="AA8" s="86"/>
      <c r="AB8" s="86"/>
      <c r="AC8" s="86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6"/>
      <c r="AP8" s="86"/>
      <c r="AQ8" s="86"/>
      <c r="AR8" s="86"/>
      <c r="AS8" s="86"/>
      <c r="AT8" s="86"/>
      <c r="AU8" s="86"/>
      <c r="AV8" s="86"/>
      <c r="AW8" s="86"/>
      <c r="AX8" s="86"/>
      <c r="AY8" s="86"/>
      <c r="AZ8" s="86"/>
      <c r="BA8" s="86"/>
      <c r="BB8" s="86"/>
      <c r="BC8" s="86"/>
      <c r="BD8" s="86"/>
      <c r="BE8" s="86"/>
      <c r="BF8" s="86"/>
      <c r="BG8" s="86"/>
    </row>
    <row r="9" spans="1:60" ht="34.5" customHeight="1" thickTop="1" thickBot="1" x14ac:dyDescent="0.3">
      <c r="A9" s="97" t="s">
        <v>5</v>
      </c>
      <c r="B9" s="58" t="s">
        <v>83</v>
      </c>
      <c r="C9" s="58" t="s">
        <v>90</v>
      </c>
      <c r="D9" s="58" t="s">
        <v>97</v>
      </c>
      <c r="E9" s="59" t="s">
        <v>104</v>
      </c>
      <c r="F9" s="59" t="s">
        <v>109</v>
      </c>
      <c r="G9" s="59" t="s">
        <v>115</v>
      </c>
      <c r="H9" s="59" t="s">
        <v>125</v>
      </c>
      <c r="I9" s="59" t="s">
        <v>131</v>
      </c>
      <c r="J9" s="69" t="s">
        <v>139</v>
      </c>
      <c r="K9" s="69" t="s">
        <v>146</v>
      </c>
      <c r="L9" s="70" t="s">
        <v>625</v>
      </c>
      <c r="M9" s="69" t="s">
        <v>160</v>
      </c>
    </row>
    <row r="10" spans="1:60" ht="34.5" customHeight="1" thickTop="1" thickBot="1" x14ac:dyDescent="0.3">
      <c r="A10" s="97" t="s">
        <v>6</v>
      </c>
      <c r="B10" s="58" t="s">
        <v>84</v>
      </c>
      <c r="C10" s="58" t="s">
        <v>91</v>
      </c>
      <c r="D10" s="58" t="s">
        <v>98</v>
      </c>
      <c r="E10" s="59" t="s">
        <v>105</v>
      </c>
      <c r="F10" s="59" t="s">
        <v>110</v>
      </c>
      <c r="G10" s="59" t="s">
        <v>116</v>
      </c>
      <c r="H10" s="59" t="s">
        <v>126</v>
      </c>
      <c r="I10" s="59" t="s">
        <v>122</v>
      </c>
      <c r="J10" s="69" t="s">
        <v>140</v>
      </c>
      <c r="K10" s="70" t="s">
        <v>626</v>
      </c>
      <c r="L10" s="69" t="s">
        <v>153</v>
      </c>
      <c r="M10" s="69" t="s">
        <v>161</v>
      </c>
      <c r="N10" s="76"/>
      <c r="O10" s="76"/>
      <c r="P10" s="76"/>
      <c r="Q10" s="76"/>
      <c r="R10" s="76"/>
      <c r="S10" s="76"/>
      <c r="T10" s="76"/>
    </row>
    <row r="11" spans="1:60" ht="34.5" customHeight="1" thickTop="1" thickBot="1" x14ac:dyDescent="0.3">
      <c r="A11" s="97" t="s">
        <v>7</v>
      </c>
      <c r="B11" s="58" t="s">
        <v>85</v>
      </c>
      <c r="C11" s="58" t="s">
        <v>92</v>
      </c>
      <c r="D11" s="58" t="s">
        <v>99</v>
      </c>
      <c r="E11" s="59" t="s">
        <v>106</v>
      </c>
      <c r="F11" s="59" t="s">
        <v>111</v>
      </c>
      <c r="G11" s="59" t="s">
        <v>117</v>
      </c>
      <c r="H11" s="59" t="s">
        <v>127</v>
      </c>
      <c r="I11" s="59" t="s">
        <v>132</v>
      </c>
      <c r="J11" s="70" t="s">
        <v>624</v>
      </c>
      <c r="K11" s="69" t="s">
        <v>147</v>
      </c>
      <c r="L11" s="69" t="s">
        <v>154</v>
      </c>
      <c r="M11" s="69" t="s">
        <v>648</v>
      </c>
      <c r="N11" s="87"/>
      <c r="O11" s="87"/>
      <c r="P11" s="87"/>
      <c r="Q11" s="87"/>
      <c r="R11" s="87"/>
      <c r="S11" s="87"/>
      <c r="T11" s="87"/>
      <c r="U11" s="87"/>
    </row>
    <row r="12" spans="1:60" ht="15.75" thickTop="1" x14ac:dyDescent="0.25">
      <c r="B12" s="83"/>
      <c r="C12" s="85"/>
      <c r="D12" s="85"/>
      <c r="E12" s="78"/>
      <c r="F12" s="78"/>
      <c r="G12" s="74"/>
      <c r="H12" s="74"/>
      <c r="I12" s="74"/>
      <c r="J12" s="74"/>
      <c r="K12" s="84"/>
      <c r="L12" s="84"/>
      <c r="M12" s="76"/>
      <c r="N12" s="87"/>
      <c r="O12" s="87"/>
      <c r="P12" s="87"/>
      <c r="Q12" s="87"/>
      <c r="R12" s="87"/>
      <c r="S12" s="87"/>
      <c r="T12" s="87"/>
      <c r="U12" s="87"/>
    </row>
    <row r="13" spans="1:60" s="74" customFormat="1" x14ac:dyDescent="0.25">
      <c r="A13"/>
      <c r="B13" s="83"/>
      <c r="C13" s="86"/>
      <c r="E13" s="8"/>
      <c r="F13" s="81"/>
      <c r="K13" s="84"/>
      <c r="L13" s="84"/>
      <c r="M13" s="76"/>
      <c r="N13" s="87"/>
      <c r="O13" s="87"/>
      <c r="P13" s="87"/>
      <c r="Q13" s="87"/>
      <c r="R13" s="87"/>
      <c r="S13" s="87"/>
      <c r="T13" s="87"/>
      <c r="U13" s="87"/>
    </row>
    <row r="14" spans="1:60" s="74" customFormat="1" x14ac:dyDescent="0.25">
      <c r="A14"/>
      <c r="M14" s="87"/>
      <c r="N14" s="87"/>
      <c r="O14" s="87"/>
      <c r="P14" s="87"/>
      <c r="Q14" s="87"/>
      <c r="R14" s="87"/>
      <c r="S14" s="87"/>
      <c r="T14" s="87"/>
    </row>
    <row r="15" spans="1:60" s="74" customFormat="1" x14ac:dyDescent="0.25">
      <c r="A15"/>
      <c r="M15" s="87"/>
      <c r="N15" s="87"/>
      <c r="O15" s="87"/>
      <c r="P15" s="87"/>
      <c r="Q15" s="87"/>
      <c r="R15" s="87"/>
      <c r="S15" s="87"/>
      <c r="T15" s="87"/>
    </row>
    <row r="16" spans="1:60" s="74" customFormat="1" x14ac:dyDescent="0.25">
      <c r="A16"/>
      <c r="M16" s="88"/>
      <c r="N16" s="88"/>
      <c r="O16" s="88"/>
      <c r="P16" s="88"/>
      <c r="Q16" s="88"/>
      <c r="R16" s="88"/>
      <c r="S16" s="88"/>
      <c r="T16" s="88"/>
    </row>
    <row r="17" spans="1:60" s="74" customFormat="1" x14ac:dyDescent="0.25">
      <c r="A17"/>
      <c r="M17" s="80"/>
      <c r="N17" s="80"/>
      <c r="O17" s="76"/>
      <c r="P17" s="76"/>
      <c r="Q17" s="76"/>
      <c r="R17" s="76"/>
      <c r="S17" s="76"/>
      <c r="T17" s="76"/>
    </row>
    <row r="18" spans="1:60" s="74" customFormat="1" x14ac:dyDescent="0.25">
      <c r="A18"/>
      <c r="M18" s="76"/>
      <c r="N18" s="76"/>
      <c r="O18" s="76"/>
      <c r="P18" s="76"/>
      <c r="Q18" s="76"/>
      <c r="R18" s="76"/>
      <c r="S18" s="76"/>
      <c r="T18" s="76"/>
    </row>
    <row r="19" spans="1:60" s="74" customFormat="1" x14ac:dyDescent="0.25">
      <c r="A19"/>
      <c r="M19" s="76"/>
      <c r="N19" s="76"/>
      <c r="O19" s="76"/>
      <c r="P19" s="76"/>
      <c r="Q19" s="76"/>
      <c r="R19" s="76"/>
      <c r="S19" s="76"/>
      <c r="T19" s="76"/>
    </row>
    <row r="20" spans="1:60" s="74" customFormat="1" x14ac:dyDescent="0.25">
      <c r="A20"/>
      <c r="M20" s="76"/>
      <c r="N20" s="76"/>
      <c r="O20" s="76"/>
      <c r="P20" s="76"/>
      <c r="Q20" s="76"/>
      <c r="R20" s="76"/>
      <c r="S20" s="76"/>
      <c r="T20" s="76"/>
    </row>
    <row r="21" spans="1:60" s="74" customFormat="1" x14ac:dyDescent="0.25">
      <c r="A21"/>
    </row>
    <row r="22" spans="1:60" s="74" customFormat="1" x14ac:dyDescent="0.25">
      <c r="A22"/>
    </row>
    <row r="23" spans="1:60" s="74" customFormat="1" x14ac:dyDescent="0.25">
      <c r="A23"/>
    </row>
    <row r="24" spans="1:60" s="74" customFormat="1" x14ac:dyDescent="0.25">
      <c r="A24"/>
    </row>
    <row r="25" spans="1:60" s="74" customFormat="1" x14ac:dyDescent="0.25">
      <c r="A25"/>
    </row>
    <row r="26" spans="1:60" s="74" customFormat="1" x14ac:dyDescent="0.25">
      <c r="A26"/>
    </row>
    <row r="27" spans="1:60" s="74" customFormat="1" x14ac:dyDescent="0.25">
      <c r="A27"/>
    </row>
    <row r="28" spans="1:60" s="74" customFormat="1" x14ac:dyDescent="0.25">
      <c r="A28"/>
    </row>
    <row r="29" spans="1:60" x14ac:dyDescent="0.25">
      <c r="B29"/>
      <c r="K29" s="74"/>
      <c r="BH29"/>
    </row>
    <row r="30" spans="1:60" x14ac:dyDescent="0.25">
      <c r="B30"/>
      <c r="K30" s="74"/>
      <c r="BH30"/>
    </row>
    <row r="31" spans="1:60" x14ac:dyDescent="0.25">
      <c r="B31"/>
      <c r="K31" s="74"/>
      <c r="BH31"/>
    </row>
    <row r="32" spans="1:60" x14ac:dyDescent="0.25">
      <c r="B32"/>
      <c r="K32" s="74"/>
      <c r="BH32"/>
    </row>
    <row r="33" spans="2:60" x14ac:dyDescent="0.25">
      <c r="B33"/>
      <c r="K33" s="74"/>
      <c r="BH33"/>
    </row>
    <row r="34" spans="2:60" x14ac:dyDescent="0.25">
      <c r="B34"/>
      <c r="K34" s="74"/>
      <c r="BH34"/>
    </row>
    <row r="35" spans="2:60" x14ac:dyDescent="0.25">
      <c r="B35"/>
      <c r="K35" s="74"/>
      <c r="BH35"/>
    </row>
    <row r="36" spans="2:60" x14ac:dyDescent="0.25">
      <c r="B36"/>
      <c r="K36" s="74"/>
      <c r="BH36"/>
    </row>
    <row r="37" spans="2:60" x14ac:dyDescent="0.25">
      <c r="B37"/>
      <c r="K37" s="74"/>
      <c r="BH37"/>
    </row>
    <row r="38" spans="2:60" x14ac:dyDescent="0.25">
      <c r="B38"/>
      <c r="J38" s="74"/>
      <c r="K38" s="74"/>
      <c r="BH38"/>
    </row>
    <row r="39" spans="2:60" x14ac:dyDescent="0.25">
      <c r="B39"/>
      <c r="J39" s="74"/>
      <c r="K39" s="74"/>
      <c r="BH39"/>
    </row>
    <row r="40" spans="2:60" x14ac:dyDescent="0.25">
      <c r="B40"/>
      <c r="J40" s="74"/>
      <c r="K40" s="74"/>
      <c r="BH40"/>
    </row>
    <row r="41" spans="2:60" x14ac:dyDescent="0.25">
      <c r="B41"/>
      <c r="J41" s="74"/>
      <c r="K41" s="74"/>
      <c r="BH41"/>
    </row>
    <row r="42" spans="2:60" x14ac:dyDescent="0.25">
      <c r="B42"/>
      <c r="J42" s="74"/>
      <c r="K42" s="74"/>
      <c r="BH42"/>
    </row>
    <row r="43" spans="2:60" x14ac:dyDescent="0.25">
      <c r="B43"/>
      <c r="J43" s="74"/>
      <c r="K43" s="74"/>
      <c r="BH43"/>
    </row>
    <row r="44" spans="2:60" x14ac:dyDescent="0.25">
      <c r="B44"/>
      <c r="J44" s="74"/>
      <c r="K44" s="74"/>
      <c r="BH44"/>
    </row>
    <row r="45" spans="2:60" x14ac:dyDescent="0.25">
      <c r="B45"/>
      <c r="J45" s="74"/>
      <c r="K45" s="74"/>
      <c r="BH45"/>
    </row>
    <row r="46" spans="2:60" x14ac:dyDescent="0.25">
      <c r="B46"/>
      <c r="I46" s="74"/>
      <c r="J46" s="74"/>
      <c r="K46" s="74"/>
      <c r="BH46"/>
    </row>
    <row r="47" spans="2:60" x14ac:dyDescent="0.25">
      <c r="B47"/>
      <c r="I47" s="74"/>
      <c r="J47" s="74"/>
      <c r="K47" s="74"/>
      <c r="BH47"/>
    </row>
    <row r="48" spans="2:60" x14ac:dyDescent="0.25">
      <c r="B48"/>
      <c r="I48" s="74"/>
      <c r="J48" s="74"/>
      <c r="K48" s="74"/>
      <c r="BH48"/>
    </row>
    <row r="49" spans="2:60" x14ac:dyDescent="0.25">
      <c r="B49"/>
      <c r="I49" s="74"/>
      <c r="J49" s="74"/>
      <c r="K49" s="74"/>
      <c r="BH49"/>
    </row>
    <row r="50" spans="2:60" x14ac:dyDescent="0.25">
      <c r="B50"/>
      <c r="I50" s="74"/>
      <c r="J50" s="74"/>
      <c r="K50" s="74"/>
      <c r="BH50"/>
    </row>
    <row r="51" spans="2:60" x14ac:dyDescent="0.25">
      <c r="B51"/>
      <c r="I51" s="74"/>
      <c r="J51" s="74"/>
      <c r="K51" s="74"/>
      <c r="BH51"/>
    </row>
    <row r="52" spans="2:60" x14ac:dyDescent="0.25">
      <c r="B52"/>
      <c r="I52" s="74"/>
      <c r="J52" s="74"/>
      <c r="K52" s="74"/>
      <c r="BH52"/>
    </row>
    <row r="53" spans="2:60" x14ac:dyDescent="0.25">
      <c r="B53"/>
      <c r="I53" s="74"/>
      <c r="J53" s="74"/>
      <c r="K53" s="74"/>
      <c r="BH53"/>
    </row>
    <row r="54" spans="2:60" x14ac:dyDescent="0.25">
      <c r="B54"/>
      <c r="H54" s="74"/>
      <c r="I54" s="74"/>
      <c r="J54" s="74"/>
      <c r="K54" s="74"/>
      <c r="BH54"/>
    </row>
    <row r="55" spans="2:60" x14ac:dyDescent="0.25">
      <c r="B55"/>
      <c r="H55" s="74"/>
      <c r="I55" s="74"/>
      <c r="J55" s="74"/>
      <c r="K55" s="74"/>
      <c r="BH55"/>
    </row>
    <row r="56" spans="2:60" x14ac:dyDescent="0.25">
      <c r="B56"/>
      <c r="H56" s="74"/>
      <c r="I56" s="74"/>
      <c r="J56" s="74"/>
      <c r="K56" s="74"/>
      <c r="BH56"/>
    </row>
    <row r="57" spans="2:60" x14ac:dyDescent="0.25">
      <c r="B57"/>
      <c r="H57" s="74"/>
      <c r="I57" s="74"/>
      <c r="J57" s="74"/>
      <c r="K57" s="74"/>
      <c r="BH57"/>
    </row>
    <row r="58" spans="2:60" x14ac:dyDescent="0.25">
      <c r="B58"/>
      <c r="H58" s="74"/>
      <c r="I58" s="74"/>
      <c r="J58" s="74"/>
      <c r="K58" s="74"/>
      <c r="BH58"/>
    </row>
    <row r="59" spans="2:60" x14ac:dyDescent="0.25">
      <c r="B59"/>
      <c r="H59" s="74"/>
      <c r="I59" s="74"/>
      <c r="J59" s="74"/>
      <c r="K59" s="74"/>
      <c r="BH59"/>
    </row>
    <row r="60" spans="2:60" x14ac:dyDescent="0.25">
      <c r="B60"/>
      <c r="H60" s="74"/>
      <c r="I60" s="74"/>
      <c r="J60" s="74"/>
      <c r="K60" s="74"/>
      <c r="BH60"/>
    </row>
    <row r="61" spans="2:60" x14ac:dyDescent="0.25">
      <c r="B61"/>
      <c r="H61" s="74"/>
      <c r="I61" s="74"/>
      <c r="J61" s="74"/>
      <c r="K61" s="74"/>
      <c r="BH61"/>
    </row>
    <row r="62" spans="2:60" x14ac:dyDescent="0.25">
      <c r="B62" s="86"/>
      <c r="C62" s="74"/>
      <c r="D62" s="8"/>
      <c r="E62" s="81"/>
      <c r="F62" s="74"/>
      <c r="G62" s="74"/>
      <c r="H62" s="74"/>
      <c r="I62" s="74"/>
      <c r="J62" s="74"/>
      <c r="K62" s="74"/>
      <c r="BH62"/>
    </row>
    <row r="63" spans="2:60" x14ac:dyDescent="0.25">
      <c r="B63" s="86"/>
      <c r="C63" s="74"/>
      <c r="D63" s="8"/>
      <c r="E63" s="81"/>
      <c r="F63" s="74"/>
      <c r="G63" s="74"/>
      <c r="H63" s="74"/>
      <c r="I63" s="74"/>
      <c r="J63" s="74"/>
      <c r="K63" s="74"/>
      <c r="BH63"/>
    </row>
    <row r="64" spans="2:60" x14ac:dyDescent="0.25">
      <c r="B64" s="86"/>
      <c r="C64" s="74"/>
      <c r="D64" s="8"/>
      <c r="E64" s="81"/>
      <c r="F64" s="74"/>
      <c r="G64" s="74"/>
      <c r="H64" s="74"/>
      <c r="I64" s="74"/>
      <c r="J64" s="74"/>
      <c r="K64" s="74"/>
      <c r="BH64"/>
    </row>
    <row r="65" spans="2:60" x14ac:dyDescent="0.25">
      <c r="B65" s="86"/>
      <c r="C65" s="74"/>
      <c r="D65" s="8"/>
      <c r="E65" s="81"/>
      <c r="F65" s="74"/>
      <c r="G65" s="74"/>
      <c r="H65" s="74"/>
      <c r="I65" s="74"/>
      <c r="J65" s="74"/>
      <c r="K65" s="74"/>
      <c r="BH65"/>
    </row>
    <row r="66" spans="2:60" x14ac:dyDescent="0.25">
      <c r="B66" s="86"/>
      <c r="C66" s="74"/>
      <c r="D66" s="8"/>
      <c r="E66" s="81"/>
      <c r="F66" s="74"/>
      <c r="G66" s="74"/>
      <c r="H66" s="74"/>
      <c r="I66" s="74"/>
      <c r="J66" s="74"/>
      <c r="K66" s="74"/>
      <c r="BH66"/>
    </row>
    <row r="67" spans="2:60" x14ac:dyDescent="0.25">
      <c r="B67" s="86"/>
      <c r="C67" s="74"/>
      <c r="D67" s="8"/>
      <c r="E67" s="81"/>
      <c r="F67" s="74"/>
      <c r="G67" s="74"/>
      <c r="H67" s="74"/>
      <c r="I67" s="74"/>
      <c r="J67" s="74"/>
      <c r="K67" s="74"/>
      <c r="BH67"/>
    </row>
    <row r="68" spans="2:60" x14ac:dyDescent="0.25">
      <c r="B68" s="86"/>
      <c r="C68" s="74"/>
      <c r="D68" s="8"/>
      <c r="E68" s="81"/>
      <c r="F68" s="74"/>
      <c r="G68" s="74"/>
      <c r="H68" s="74"/>
      <c r="I68" s="74"/>
      <c r="J68" s="74"/>
      <c r="K68" s="74"/>
      <c r="BH68"/>
    </row>
    <row r="69" spans="2:60" x14ac:dyDescent="0.25">
      <c r="B69" s="86"/>
      <c r="C69" s="74"/>
      <c r="D69" s="8"/>
      <c r="E69" s="81"/>
      <c r="F69" s="74"/>
      <c r="G69" s="74"/>
      <c r="H69" s="74"/>
      <c r="I69" s="74"/>
      <c r="J69" s="74"/>
      <c r="K69" s="74"/>
      <c r="BH69"/>
    </row>
    <row r="70" spans="2:60" x14ac:dyDescent="0.25">
      <c r="B70" s="86"/>
      <c r="C70" s="74"/>
      <c r="D70" s="8"/>
      <c r="E70" s="81"/>
      <c r="F70" s="74"/>
      <c r="G70" s="74"/>
      <c r="H70" s="74"/>
      <c r="I70" s="74"/>
      <c r="J70" s="74"/>
      <c r="K70" s="74"/>
      <c r="BH70"/>
    </row>
    <row r="71" spans="2:60" x14ac:dyDescent="0.25">
      <c r="B71" s="86"/>
      <c r="C71" s="74"/>
      <c r="D71" s="8"/>
      <c r="E71" s="81"/>
      <c r="F71" s="74"/>
      <c r="G71" s="74"/>
      <c r="H71" s="74"/>
      <c r="I71" s="74"/>
      <c r="J71" s="74"/>
      <c r="K71" s="74"/>
      <c r="BH71"/>
    </row>
    <row r="72" spans="2:60" x14ac:dyDescent="0.25">
      <c r="B72" s="86"/>
      <c r="C72" s="74"/>
      <c r="D72" s="8"/>
      <c r="E72" s="81"/>
      <c r="F72" s="74"/>
      <c r="G72" s="74"/>
      <c r="H72" s="74"/>
      <c r="I72" s="74"/>
      <c r="J72" s="74"/>
      <c r="K72" s="74"/>
      <c r="BH72"/>
    </row>
    <row r="73" spans="2:60" x14ac:dyDescent="0.25">
      <c r="B73" s="86"/>
      <c r="C73" s="74"/>
      <c r="D73" s="8"/>
      <c r="E73" s="81"/>
      <c r="F73" s="74"/>
      <c r="G73" s="74"/>
      <c r="H73" s="74"/>
      <c r="I73" s="74"/>
      <c r="J73" s="74"/>
      <c r="K73" s="74"/>
      <c r="BH73"/>
    </row>
    <row r="74" spans="2:60" x14ac:dyDescent="0.25">
      <c r="B74" s="86"/>
      <c r="C74" s="74"/>
      <c r="D74" s="8"/>
      <c r="E74" s="81"/>
      <c r="F74" s="74"/>
      <c r="G74" s="74"/>
      <c r="H74" s="74"/>
      <c r="I74" s="74"/>
      <c r="J74" s="74"/>
      <c r="K74" s="74"/>
      <c r="BH74"/>
    </row>
    <row r="75" spans="2:60" x14ac:dyDescent="0.25">
      <c r="B75" s="86"/>
      <c r="C75" s="74"/>
      <c r="D75" s="8"/>
      <c r="E75" s="81"/>
      <c r="F75" s="74"/>
      <c r="G75" s="74"/>
      <c r="H75" s="74"/>
      <c r="I75" s="74"/>
      <c r="J75" s="74"/>
      <c r="K75" s="74"/>
      <c r="BH75"/>
    </row>
    <row r="76" spans="2:60" x14ac:dyDescent="0.25">
      <c r="B76" s="86"/>
      <c r="C76" s="74"/>
      <c r="D76" s="8"/>
      <c r="E76" s="81"/>
      <c r="F76" s="74"/>
      <c r="G76" s="74"/>
      <c r="H76" s="74"/>
      <c r="I76" s="74"/>
      <c r="J76" s="74"/>
      <c r="K76" s="74"/>
      <c r="BH76"/>
    </row>
    <row r="77" spans="2:60" x14ac:dyDescent="0.25">
      <c r="B77" s="86"/>
      <c r="C77" s="74"/>
      <c r="D77" s="8"/>
      <c r="E77" s="81"/>
      <c r="F77" s="74"/>
      <c r="G77" s="74"/>
      <c r="H77" s="74"/>
      <c r="I77" s="74"/>
      <c r="J77" s="74"/>
      <c r="K77" s="74"/>
      <c r="BH77"/>
    </row>
    <row r="78" spans="2:60" x14ac:dyDescent="0.25">
      <c r="B78" s="86"/>
      <c r="C78" s="74"/>
      <c r="D78" s="8"/>
      <c r="E78" s="81"/>
      <c r="F78" s="74"/>
      <c r="G78" s="74"/>
      <c r="H78" s="74"/>
      <c r="I78" s="74"/>
      <c r="J78" s="74"/>
      <c r="K78" s="74"/>
      <c r="BH78"/>
    </row>
    <row r="79" spans="2:60" x14ac:dyDescent="0.25">
      <c r="B79" s="86"/>
      <c r="C79" s="74"/>
      <c r="D79" s="8"/>
      <c r="E79" s="81"/>
      <c r="F79" s="74"/>
      <c r="G79" s="74"/>
      <c r="H79" s="74"/>
      <c r="I79" s="74"/>
      <c r="J79" s="74"/>
      <c r="K79" s="74"/>
      <c r="BH79"/>
    </row>
    <row r="80" spans="2:60" x14ac:dyDescent="0.25">
      <c r="B80" s="86"/>
      <c r="C80" s="74"/>
      <c r="D80" s="8"/>
      <c r="E80" s="81"/>
      <c r="F80" s="74"/>
      <c r="G80" s="74"/>
      <c r="H80" s="74"/>
      <c r="I80" s="74"/>
      <c r="J80" s="74"/>
      <c r="K80" s="74"/>
      <c r="BH80"/>
    </row>
    <row r="81" spans="2:60" x14ac:dyDescent="0.25">
      <c r="B81" s="86"/>
      <c r="C81" s="74"/>
      <c r="D81" s="8"/>
      <c r="E81" s="81"/>
      <c r="F81" s="74"/>
      <c r="G81" s="74"/>
      <c r="H81" s="74"/>
      <c r="I81" s="74"/>
      <c r="J81" s="74"/>
      <c r="K81" s="74"/>
      <c r="BH81"/>
    </row>
    <row r="82" spans="2:60" x14ac:dyDescent="0.25">
      <c r="B82" s="86"/>
      <c r="C82" s="74"/>
      <c r="D82" s="8"/>
      <c r="E82" s="81"/>
      <c r="F82" s="74"/>
      <c r="G82" s="74"/>
      <c r="H82" s="74"/>
      <c r="I82" s="74"/>
      <c r="J82" s="74"/>
      <c r="K82" s="74"/>
      <c r="BH82"/>
    </row>
    <row r="83" spans="2:60" x14ac:dyDescent="0.25">
      <c r="B83" s="86"/>
      <c r="C83" s="74"/>
      <c r="D83" s="8"/>
      <c r="E83" s="81"/>
      <c r="F83" s="74"/>
      <c r="G83" s="74"/>
      <c r="H83" s="74"/>
      <c r="I83" s="74"/>
      <c r="J83" s="74"/>
      <c r="K83" s="74"/>
      <c r="BH83"/>
    </row>
    <row r="84" spans="2:60" x14ac:dyDescent="0.25">
      <c r="B84" s="86"/>
      <c r="C84" s="74"/>
      <c r="D84" s="8"/>
      <c r="E84" s="81"/>
      <c r="F84" s="74"/>
      <c r="G84" s="74"/>
      <c r="H84" s="74"/>
      <c r="I84" s="74"/>
      <c r="J84" s="74"/>
      <c r="K84" s="74"/>
      <c r="BH84"/>
    </row>
    <row r="85" spans="2:60" x14ac:dyDescent="0.25">
      <c r="B85" s="86"/>
      <c r="C85" s="74"/>
      <c r="D85" s="8"/>
      <c r="E85" s="81"/>
      <c r="F85" s="74"/>
      <c r="G85" s="74"/>
      <c r="H85" s="74"/>
      <c r="I85" s="74"/>
      <c r="J85" s="74"/>
      <c r="K85" s="74"/>
      <c r="BH85"/>
    </row>
    <row r="86" spans="2:60" x14ac:dyDescent="0.25">
      <c r="B86"/>
      <c r="D86" s="8"/>
      <c r="E86" s="81"/>
      <c r="F86" s="74"/>
      <c r="G86" s="74"/>
      <c r="H86" s="74"/>
      <c r="I86" s="74"/>
      <c r="J86" s="74"/>
      <c r="K86" s="74"/>
      <c r="BH86"/>
    </row>
    <row r="87" spans="2:60" x14ac:dyDescent="0.25">
      <c r="B87"/>
      <c r="D87" s="8"/>
      <c r="E87" s="81"/>
      <c r="F87" s="74"/>
      <c r="G87" s="74"/>
      <c r="H87" s="74"/>
      <c r="I87" s="74"/>
      <c r="J87" s="74"/>
      <c r="K87" s="74"/>
      <c r="BH87"/>
    </row>
    <row r="88" spans="2:60" x14ac:dyDescent="0.25">
      <c r="B88"/>
      <c r="D88" s="8"/>
      <c r="E88" s="81"/>
      <c r="F88" s="74"/>
      <c r="G88" s="74"/>
      <c r="H88" s="74"/>
      <c r="I88" s="74"/>
      <c r="J88" s="74"/>
      <c r="K88" s="74"/>
      <c r="BH88"/>
    </row>
    <row r="89" spans="2:60" x14ac:dyDescent="0.25">
      <c r="B89"/>
      <c r="D89" s="8"/>
      <c r="E89" s="81"/>
      <c r="F89" s="74"/>
      <c r="G89" s="74"/>
      <c r="H89" s="74"/>
      <c r="I89" s="74"/>
      <c r="J89" s="74"/>
      <c r="K89" s="74"/>
      <c r="BH89"/>
    </row>
    <row r="90" spans="2:60" x14ac:dyDescent="0.25">
      <c r="B90"/>
      <c r="D90" s="8"/>
      <c r="E90" s="81"/>
      <c r="F90" s="74"/>
      <c r="G90" s="74"/>
      <c r="H90" s="74"/>
      <c r="I90" s="74"/>
      <c r="J90" s="74"/>
      <c r="K90" s="74"/>
      <c r="BH90"/>
    </row>
    <row r="91" spans="2:60" x14ac:dyDescent="0.25">
      <c r="B91"/>
      <c r="D91" s="8"/>
      <c r="E91" s="81"/>
      <c r="F91" s="74"/>
      <c r="G91" s="74"/>
      <c r="H91" s="74"/>
      <c r="I91" s="74"/>
      <c r="J91" s="74"/>
      <c r="K91" s="74"/>
      <c r="BH91"/>
    </row>
    <row r="92" spans="2:60" x14ac:dyDescent="0.25">
      <c r="B92"/>
      <c r="D92" s="8"/>
      <c r="E92" s="81"/>
      <c r="F92" s="74"/>
      <c r="G92" s="74"/>
      <c r="H92" s="74"/>
      <c r="I92" s="74"/>
      <c r="J92" s="74"/>
      <c r="K92" s="74"/>
      <c r="BH92"/>
    </row>
    <row r="93" spans="2:60" x14ac:dyDescent="0.25">
      <c r="B93"/>
      <c r="D93" s="8"/>
      <c r="E93" s="81"/>
      <c r="F93" s="74"/>
      <c r="G93" s="74"/>
      <c r="H93" s="74"/>
      <c r="I93" s="74"/>
      <c r="J93" s="74"/>
      <c r="K93" s="74"/>
      <c r="BH93"/>
    </row>
    <row r="94" spans="2:60" x14ac:dyDescent="0.25">
      <c r="B94" s="86"/>
      <c r="C94" s="74"/>
      <c r="D94" s="8"/>
      <c r="E94" s="81"/>
      <c r="F94" s="74"/>
      <c r="G94" s="74"/>
      <c r="H94" s="74"/>
      <c r="I94" s="74"/>
      <c r="J94" s="74"/>
      <c r="K94" s="74"/>
      <c r="BH94"/>
    </row>
    <row r="95" spans="2:60" x14ac:dyDescent="0.25">
      <c r="B95" s="86"/>
      <c r="C95" s="74"/>
      <c r="D95" s="8"/>
      <c r="E95" s="81"/>
      <c r="F95" s="74"/>
      <c r="G95" s="74"/>
      <c r="H95" s="74"/>
      <c r="I95" s="74"/>
      <c r="J95" s="74"/>
      <c r="K95" s="74"/>
      <c r="BH95"/>
    </row>
    <row r="96" spans="2:60" x14ac:dyDescent="0.25">
      <c r="B96" s="86"/>
      <c r="C96" s="74"/>
      <c r="D96" s="8"/>
      <c r="E96" s="81"/>
      <c r="F96" s="74"/>
      <c r="G96" s="74"/>
      <c r="H96" s="74"/>
      <c r="I96" s="74"/>
      <c r="J96" s="74"/>
      <c r="K96" s="74"/>
      <c r="BH96"/>
    </row>
    <row r="97" spans="2:60" x14ac:dyDescent="0.25">
      <c r="B97" s="86"/>
      <c r="C97" s="74"/>
      <c r="D97" s="8"/>
      <c r="E97" s="81"/>
      <c r="F97" s="74"/>
      <c r="G97" s="74"/>
      <c r="H97" s="74"/>
      <c r="I97" s="74"/>
      <c r="J97" s="74"/>
      <c r="K97" s="74"/>
      <c r="BH97"/>
    </row>
    <row r="98" spans="2:60" x14ac:dyDescent="0.25">
      <c r="B98" s="86"/>
      <c r="C98" s="74"/>
      <c r="D98" s="8"/>
      <c r="E98" s="81"/>
      <c r="F98" s="74"/>
      <c r="G98" s="74"/>
      <c r="H98" s="74"/>
      <c r="I98" s="74"/>
      <c r="J98" s="74"/>
      <c r="K98" s="74"/>
      <c r="BH98"/>
    </row>
    <row r="99" spans="2:60" x14ac:dyDescent="0.25">
      <c r="B99" s="86"/>
      <c r="C99" s="74"/>
      <c r="D99" s="8"/>
      <c r="E99" s="81"/>
      <c r="F99" s="74"/>
      <c r="G99" s="74"/>
      <c r="H99" s="74"/>
      <c r="I99" s="74"/>
      <c r="J99" s="74"/>
      <c r="K99" s="74"/>
      <c r="BH99"/>
    </row>
    <row r="100" spans="2:60" x14ac:dyDescent="0.25">
      <c r="B100" s="86"/>
      <c r="C100" s="74"/>
      <c r="D100" s="8"/>
      <c r="E100" s="81"/>
      <c r="F100" s="74"/>
      <c r="G100" s="74"/>
      <c r="H100" s="74"/>
      <c r="I100" s="74"/>
      <c r="J100" s="74"/>
      <c r="K100" s="74"/>
      <c r="BH100"/>
    </row>
    <row r="101" spans="2:60" x14ac:dyDescent="0.25">
      <c r="B101" s="86"/>
      <c r="C101" s="74"/>
      <c r="D101" s="8"/>
      <c r="E101" s="81"/>
      <c r="F101" s="74"/>
      <c r="G101" s="74"/>
      <c r="H101" s="74"/>
      <c r="I101" s="74"/>
      <c r="J101" s="74"/>
      <c r="K101" s="74"/>
      <c r="BH101"/>
    </row>
    <row r="102" spans="2:60" x14ac:dyDescent="0.25">
      <c r="B102" s="86"/>
      <c r="C102" s="74"/>
      <c r="D102" s="8"/>
      <c r="E102" s="81"/>
      <c r="F102" s="74"/>
      <c r="G102" s="74"/>
      <c r="H102" s="74"/>
      <c r="I102" s="74"/>
      <c r="J102" s="74"/>
      <c r="K102" s="74"/>
      <c r="BH102"/>
    </row>
    <row r="103" spans="2:60" x14ac:dyDescent="0.25">
      <c r="B103" s="86"/>
      <c r="C103" s="74"/>
      <c r="D103" s="8"/>
      <c r="E103" s="81"/>
      <c r="F103" s="74"/>
      <c r="G103" s="74"/>
      <c r="H103" s="74"/>
      <c r="I103" s="74"/>
      <c r="J103" s="74"/>
      <c r="K103" s="74"/>
      <c r="BH103"/>
    </row>
    <row r="104" spans="2:60" x14ac:dyDescent="0.25">
      <c r="B104" s="86"/>
      <c r="C104" s="74"/>
      <c r="D104" s="8"/>
      <c r="E104" s="81"/>
      <c r="F104" s="74"/>
      <c r="G104" s="74"/>
      <c r="H104" s="74"/>
      <c r="I104" s="74"/>
      <c r="J104" s="74"/>
      <c r="K104" s="74"/>
      <c r="BH104"/>
    </row>
    <row r="105" spans="2:60" x14ac:dyDescent="0.25">
      <c r="B105" s="86"/>
      <c r="C105" s="74"/>
      <c r="D105" s="8"/>
      <c r="E105" s="81"/>
      <c r="F105" s="74"/>
      <c r="G105" s="74"/>
      <c r="H105" s="74"/>
      <c r="I105" s="74"/>
      <c r="J105" s="74"/>
      <c r="K105" s="74"/>
      <c r="BH105"/>
    </row>
    <row r="106" spans="2:60" x14ac:dyDescent="0.25">
      <c r="B106" s="86"/>
      <c r="C106" s="74"/>
      <c r="D106" s="8"/>
      <c r="E106" s="81"/>
      <c r="F106" s="74"/>
      <c r="G106" s="74"/>
      <c r="H106" s="74"/>
      <c r="I106" s="74"/>
      <c r="J106" s="74"/>
      <c r="K106" s="74"/>
      <c r="BH106"/>
    </row>
    <row r="107" spans="2:60" x14ac:dyDescent="0.25">
      <c r="B107" s="86"/>
      <c r="C107" s="74"/>
      <c r="D107" s="8"/>
      <c r="E107" s="81"/>
      <c r="F107" s="74"/>
      <c r="G107" s="74"/>
      <c r="H107" s="74"/>
      <c r="I107" s="74"/>
      <c r="J107" s="74"/>
      <c r="K107" s="74"/>
      <c r="BH107"/>
    </row>
    <row r="108" spans="2:60" x14ac:dyDescent="0.25">
      <c r="B108" s="86"/>
      <c r="C108" s="74"/>
      <c r="D108" s="8"/>
      <c r="E108" s="81"/>
      <c r="F108" s="74"/>
      <c r="G108" s="74"/>
      <c r="H108" s="74"/>
      <c r="I108" s="74"/>
      <c r="J108" s="74"/>
      <c r="K108" s="74"/>
      <c r="BH108"/>
    </row>
    <row r="109" spans="2:60" x14ac:dyDescent="0.25">
      <c r="B109" s="86"/>
      <c r="C109" s="86"/>
      <c r="D109" s="81"/>
      <c r="E109" s="81"/>
      <c r="F109" s="74"/>
      <c r="G109" s="74"/>
      <c r="H109" s="74"/>
      <c r="I109" s="74"/>
      <c r="J109" s="74"/>
      <c r="K109" s="74"/>
      <c r="BH109"/>
    </row>
    <row r="110" spans="2:60" x14ac:dyDescent="0.25">
      <c r="B110" s="83"/>
      <c r="C110" s="86"/>
      <c r="D110" s="86"/>
      <c r="E110" s="81"/>
      <c r="F110" s="81"/>
      <c r="G110" s="74"/>
      <c r="H110" s="74"/>
      <c r="I110" s="74"/>
      <c r="J110" s="74"/>
      <c r="K110" s="74"/>
    </row>
    <row r="111" spans="2:60" x14ac:dyDescent="0.25">
      <c r="B111" s="83"/>
      <c r="C111" s="86"/>
      <c r="D111" s="86"/>
      <c r="E111" s="81"/>
      <c r="F111" s="81"/>
      <c r="G111" s="74"/>
      <c r="H111" s="74"/>
      <c r="I111" s="74"/>
      <c r="J111" s="74"/>
      <c r="K111" s="74"/>
    </row>
    <row r="112" spans="2:60" x14ac:dyDescent="0.25">
      <c r="B112" s="83"/>
      <c r="C112" s="86"/>
      <c r="D112" s="86"/>
      <c r="E112" s="81"/>
      <c r="F112" s="81"/>
      <c r="G112" s="74"/>
      <c r="H112" s="74"/>
      <c r="I112" s="74"/>
      <c r="J112" s="74"/>
      <c r="K112" s="74"/>
    </row>
    <row r="113" spans="2:11" x14ac:dyDescent="0.25">
      <c r="B113" s="83"/>
      <c r="C113" s="86"/>
      <c r="D113" s="86"/>
      <c r="E113" s="81"/>
      <c r="F113" s="81"/>
      <c r="G113" s="74"/>
      <c r="H113" s="74"/>
      <c r="I113" s="74"/>
      <c r="J113" s="74"/>
      <c r="K113" s="74"/>
    </row>
    <row r="114" spans="2:11" x14ac:dyDescent="0.25">
      <c r="B114" s="83"/>
      <c r="C114" s="86"/>
      <c r="D114" s="86"/>
      <c r="E114" s="81"/>
      <c r="F114" s="81"/>
      <c r="G114" s="74"/>
      <c r="H114" s="74"/>
      <c r="I114" s="74"/>
      <c r="J114" s="74"/>
      <c r="K114" s="74"/>
    </row>
    <row r="115" spans="2:11" x14ac:dyDescent="0.25">
      <c r="C115" s="75"/>
      <c r="D115" s="75"/>
      <c r="E115" s="79"/>
      <c r="F115" s="79"/>
    </row>
    <row r="116" spans="2:11" x14ac:dyDescent="0.25">
      <c r="C116" s="75"/>
      <c r="D116" s="75"/>
      <c r="E116" s="79"/>
      <c r="F116" s="79"/>
    </row>
    <row r="117" spans="2:11" x14ac:dyDescent="0.25">
      <c r="C117" s="75"/>
      <c r="D117" s="75"/>
      <c r="E117" s="79"/>
      <c r="F117" s="79"/>
    </row>
    <row r="118" spans="2:11" x14ac:dyDescent="0.25">
      <c r="C118" s="75"/>
      <c r="D118" s="75"/>
      <c r="E118" s="79"/>
      <c r="F118" s="79"/>
    </row>
    <row r="119" spans="2:11" x14ac:dyDescent="0.25">
      <c r="C119" s="75"/>
      <c r="D119" s="75"/>
      <c r="E119" s="79"/>
      <c r="F119" s="79"/>
    </row>
    <row r="120" spans="2:11" x14ac:dyDescent="0.25">
      <c r="C120" s="75"/>
      <c r="D120" s="75"/>
      <c r="E120" s="79"/>
      <c r="F120" s="79"/>
    </row>
    <row r="121" spans="2:11" x14ac:dyDescent="0.25">
      <c r="C121" s="75"/>
      <c r="D121" s="75"/>
      <c r="E121" s="79"/>
      <c r="F121" s="79"/>
    </row>
    <row r="122" spans="2:11" x14ac:dyDescent="0.25">
      <c r="C122" s="75"/>
      <c r="D122" s="75"/>
      <c r="E122" s="79"/>
      <c r="F122" s="79"/>
    </row>
    <row r="123" spans="2:11" x14ac:dyDescent="0.25">
      <c r="C123" s="75"/>
      <c r="D123" s="75"/>
      <c r="E123" s="79"/>
      <c r="F123" s="79"/>
    </row>
    <row r="124" spans="2:11" x14ac:dyDescent="0.25">
      <c r="C124" s="75"/>
      <c r="D124" s="75"/>
      <c r="E124" s="79"/>
      <c r="F124" s="79"/>
    </row>
    <row r="125" spans="2:11" x14ac:dyDescent="0.25">
      <c r="C125" s="75"/>
      <c r="D125" s="75"/>
      <c r="E125" s="79"/>
      <c r="F125" s="79"/>
    </row>
    <row r="126" spans="2:11" x14ac:dyDescent="0.25">
      <c r="C126" s="75"/>
      <c r="D126" s="75"/>
      <c r="E126" s="79"/>
      <c r="F126" s="79"/>
    </row>
    <row r="127" spans="2:11" x14ac:dyDescent="0.25">
      <c r="C127" s="75"/>
      <c r="D127" s="75"/>
      <c r="E127" s="79"/>
      <c r="F127" s="79"/>
    </row>
    <row r="128" spans="2:11" x14ac:dyDescent="0.25">
      <c r="C128" s="75"/>
      <c r="D128" s="75"/>
      <c r="E128" s="79"/>
      <c r="F128" s="79"/>
    </row>
    <row r="129" spans="3:6" x14ac:dyDescent="0.25">
      <c r="C129" s="75"/>
      <c r="D129" s="75"/>
      <c r="E129" s="79"/>
      <c r="F129" s="79"/>
    </row>
    <row r="130" spans="3:6" x14ac:dyDescent="0.25">
      <c r="C130" s="75"/>
      <c r="D130" s="75"/>
      <c r="E130" s="79"/>
      <c r="F130" s="79"/>
    </row>
    <row r="131" spans="3:6" x14ac:dyDescent="0.25">
      <c r="C131" s="75"/>
      <c r="D131" s="75"/>
      <c r="E131" s="79"/>
      <c r="F131" s="79"/>
    </row>
    <row r="132" spans="3:6" x14ac:dyDescent="0.25">
      <c r="C132" s="75"/>
      <c r="D132" s="75"/>
      <c r="E132" s="79"/>
      <c r="F132" s="79"/>
    </row>
    <row r="133" spans="3:6" x14ac:dyDescent="0.25">
      <c r="C133" s="75"/>
      <c r="D133" s="75"/>
      <c r="E133" s="79"/>
      <c r="F133" s="79"/>
    </row>
    <row r="134" spans="3:6" x14ac:dyDescent="0.25">
      <c r="C134" s="75"/>
      <c r="D134" s="75"/>
      <c r="E134" s="79"/>
      <c r="F134" s="79"/>
    </row>
    <row r="135" spans="3:6" x14ac:dyDescent="0.25">
      <c r="C135" s="75"/>
      <c r="D135" s="75"/>
      <c r="E135" s="79"/>
      <c r="F135" s="79"/>
    </row>
    <row r="136" spans="3:6" x14ac:dyDescent="0.25">
      <c r="C136" s="75"/>
      <c r="D136" s="75"/>
      <c r="E136" s="79"/>
      <c r="F136" s="79"/>
    </row>
    <row r="137" spans="3:6" x14ac:dyDescent="0.25">
      <c r="C137" s="75"/>
      <c r="D137" s="75"/>
      <c r="E137" s="79"/>
      <c r="F137" s="79"/>
    </row>
    <row r="138" spans="3:6" x14ac:dyDescent="0.25">
      <c r="C138" s="75"/>
      <c r="D138" s="75"/>
      <c r="E138" s="79"/>
      <c r="F138" s="79"/>
    </row>
    <row r="139" spans="3:6" x14ac:dyDescent="0.25">
      <c r="C139" s="75"/>
      <c r="D139" s="75"/>
      <c r="E139" s="79"/>
      <c r="F139" s="79"/>
    </row>
    <row r="140" spans="3:6" x14ac:dyDescent="0.25">
      <c r="C140" s="75"/>
      <c r="D140" s="75"/>
      <c r="E140" s="79"/>
      <c r="F140" s="79"/>
    </row>
    <row r="141" spans="3:6" x14ac:dyDescent="0.25">
      <c r="C141" s="75"/>
      <c r="D141" s="75"/>
      <c r="E141" s="79"/>
      <c r="F141" s="79"/>
    </row>
    <row r="142" spans="3:6" x14ac:dyDescent="0.25">
      <c r="C142" s="75"/>
      <c r="D142" s="75"/>
      <c r="E142" s="79"/>
      <c r="F142" s="79"/>
    </row>
    <row r="143" spans="3:6" x14ac:dyDescent="0.25">
      <c r="C143" s="75"/>
      <c r="D143" s="75"/>
      <c r="E143" s="79"/>
      <c r="F143" s="79"/>
    </row>
    <row r="144" spans="3:6" x14ac:dyDescent="0.25">
      <c r="C144" s="75"/>
      <c r="D144" s="75"/>
      <c r="E144" s="79"/>
      <c r="F144" s="79"/>
    </row>
    <row r="145" spans="3:6" x14ac:dyDescent="0.25">
      <c r="C145" s="75"/>
      <c r="D145" s="75"/>
      <c r="E145" s="79"/>
      <c r="F145" s="79"/>
    </row>
    <row r="146" spans="3:6" x14ac:dyDescent="0.25">
      <c r="C146" s="75"/>
      <c r="D146" s="75"/>
      <c r="E146" s="79"/>
      <c r="F146" s="79"/>
    </row>
    <row r="147" spans="3:6" x14ac:dyDescent="0.25">
      <c r="C147" s="75"/>
      <c r="D147" s="75"/>
      <c r="E147" s="79"/>
      <c r="F147" s="79"/>
    </row>
    <row r="148" spans="3:6" x14ac:dyDescent="0.25">
      <c r="C148" s="75"/>
      <c r="D148" s="75"/>
      <c r="E148" s="79"/>
      <c r="F148" s="79"/>
    </row>
    <row r="149" spans="3:6" x14ac:dyDescent="0.25">
      <c r="C149" s="75"/>
      <c r="D149" s="75"/>
      <c r="E149" s="79"/>
      <c r="F149" s="79"/>
    </row>
    <row r="150" spans="3:6" x14ac:dyDescent="0.25">
      <c r="C150" s="75"/>
      <c r="D150" s="75"/>
      <c r="E150" s="79"/>
      <c r="F150" s="79"/>
    </row>
    <row r="151" spans="3:6" x14ac:dyDescent="0.25">
      <c r="C151" s="75"/>
      <c r="D151" s="75"/>
      <c r="E151" s="79"/>
      <c r="F151" s="79"/>
    </row>
    <row r="152" spans="3:6" x14ac:dyDescent="0.25">
      <c r="C152" s="75"/>
      <c r="D152" s="75"/>
      <c r="E152" s="79"/>
      <c r="F152" s="79"/>
    </row>
    <row r="153" spans="3:6" x14ac:dyDescent="0.25">
      <c r="C153" s="75"/>
      <c r="D153" s="75"/>
      <c r="E153" s="79"/>
      <c r="F153" s="79"/>
    </row>
    <row r="154" spans="3:6" x14ac:dyDescent="0.25">
      <c r="C154" s="75"/>
      <c r="D154" s="75"/>
      <c r="E154" s="79"/>
      <c r="F154" s="79"/>
    </row>
    <row r="155" spans="3:6" x14ac:dyDescent="0.25">
      <c r="C155" s="82"/>
      <c r="D155" s="82"/>
      <c r="E155" s="79"/>
      <c r="F155" s="79"/>
    </row>
    <row r="156" spans="3:6" x14ac:dyDescent="0.25">
      <c r="C156" s="82"/>
      <c r="D156" s="82"/>
      <c r="E156" s="79"/>
      <c r="F156" s="79"/>
    </row>
    <row r="157" spans="3:6" x14ac:dyDescent="0.25">
      <c r="C157" s="82"/>
      <c r="D157" s="82"/>
      <c r="E157" s="79"/>
      <c r="F157" s="79"/>
    </row>
    <row r="158" spans="3:6" x14ac:dyDescent="0.25">
      <c r="C158" s="82"/>
      <c r="D158" s="82"/>
      <c r="E158" s="79"/>
      <c r="F158" s="79"/>
    </row>
    <row r="159" spans="3:6" x14ac:dyDescent="0.25">
      <c r="C159" s="82"/>
      <c r="D159" s="82"/>
      <c r="E159" s="79"/>
      <c r="F159" s="79"/>
    </row>
    <row r="160" spans="3:6" x14ac:dyDescent="0.25">
      <c r="C160" s="82"/>
      <c r="D160" s="82"/>
      <c r="E160" s="79"/>
      <c r="F160" s="79"/>
    </row>
    <row r="161" spans="3:6" x14ac:dyDescent="0.25">
      <c r="C161" s="82"/>
      <c r="D161" s="82"/>
      <c r="E161" s="79"/>
      <c r="F161" s="79"/>
    </row>
    <row r="162" spans="3:6" x14ac:dyDescent="0.25">
      <c r="C162" s="82"/>
      <c r="D162" s="82"/>
      <c r="E162" s="79"/>
      <c r="F162" s="79"/>
    </row>
    <row r="163" spans="3:6" x14ac:dyDescent="0.25">
      <c r="C163" s="82"/>
      <c r="D163" s="82"/>
      <c r="E163" s="79"/>
      <c r="F163" s="79"/>
    </row>
    <row r="164" spans="3:6" x14ac:dyDescent="0.25">
      <c r="C164" s="82"/>
      <c r="D164" s="82"/>
      <c r="E164" s="79"/>
      <c r="F164" s="79"/>
    </row>
    <row r="165" spans="3:6" x14ac:dyDescent="0.25">
      <c r="C165" s="82"/>
      <c r="D165" s="82"/>
      <c r="E165" s="79"/>
      <c r="F165" s="79"/>
    </row>
    <row r="166" spans="3:6" x14ac:dyDescent="0.25">
      <c r="C166" s="82"/>
      <c r="D166" s="82"/>
      <c r="E166" s="79"/>
      <c r="F166" s="79"/>
    </row>
    <row r="167" spans="3:6" x14ac:dyDescent="0.25">
      <c r="C167" s="82"/>
      <c r="D167" s="82"/>
      <c r="E167" s="79"/>
      <c r="F167" s="79"/>
    </row>
    <row r="168" spans="3:6" x14ac:dyDescent="0.25">
      <c r="C168" s="82"/>
      <c r="D168" s="82"/>
      <c r="E168" s="79"/>
      <c r="F168" s="79"/>
    </row>
    <row r="169" spans="3:6" x14ac:dyDescent="0.25">
      <c r="C169" s="82"/>
      <c r="D169" s="82"/>
      <c r="E169" s="79"/>
      <c r="F169" s="79"/>
    </row>
    <row r="170" spans="3:6" x14ac:dyDescent="0.25">
      <c r="C170" s="82"/>
      <c r="D170" s="82"/>
      <c r="E170" s="79"/>
      <c r="F170" s="79"/>
    </row>
    <row r="171" spans="3:6" x14ac:dyDescent="0.25">
      <c r="C171" s="82"/>
      <c r="D171" s="82"/>
      <c r="E171" s="79"/>
      <c r="F171" s="79"/>
    </row>
    <row r="172" spans="3:6" x14ac:dyDescent="0.25">
      <c r="C172" s="82"/>
      <c r="D172" s="82"/>
      <c r="E172" s="79"/>
      <c r="F172" s="79"/>
    </row>
    <row r="173" spans="3:6" x14ac:dyDescent="0.25">
      <c r="C173" s="82"/>
      <c r="D173" s="82"/>
      <c r="E173" s="79"/>
      <c r="F173" s="79"/>
    </row>
    <row r="174" spans="3:6" x14ac:dyDescent="0.25">
      <c r="C174" s="82"/>
      <c r="D174" s="82"/>
      <c r="E174" s="79"/>
      <c r="F174" s="79"/>
    </row>
    <row r="175" spans="3:6" x14ac:dyDescent="0.25">
      <c r="C175" s="82"/>
      <c r="D175" s="82"/>
      <c r="E175" s="79"/>
      <c r="F175" s="79"/>
    </row>
    <row r="176" spans="3:6" x14ac:dyDescent="0.25">
      <c r="C176" s="82"/>
      <c r="D176" s="82"/>
      <c r="E176" s="79"/>
      <c r="F176" s="79"/>
    </row>
    <row r="177" spans="3:6" x14ac:dyDescent="0.25">
      <c r="C177" s="82"/>
      <c r="D177" s="82"/>
      <c r="E177" s="79"/>
      <c r="F177" s="79"/>
    </row>
    <row r="178" spans="3:6" x14ac:dyDescent="0.25">
      <c r="C178" s="82"/>
      <c r="D178" s="82"/>
      <c r="E178" s="79"/>
      <c r="F178" s="79"/>
    </row>
    <row r="179" spans="3:6" x14ac:dyDescent="0.25">
      <c r="C179" s="82"/>
      <c r="D179" s="82"/>
      <c r="E179" s="79"/>
      <c r="F179" s="79"/>
    </row>
    <row r="180" spans="3:6" x14ac:dyDescent="0.25">
      <c r="C180" s="82"/>
      <c r="D180" s="82"/>
      <c r="E180" s="79"/>
      <c r="F180" s="79"/>
    </row>
    <row r="181" spans="3:6" x14ac:dyDescent="0.25">
      <c r="C181" s="82"/>
      <c r="D181" s="82"/>
      <c r="E181" s="79"/>
      <c r="F181" s="79"/>
    </row>
    <row r="182" spans="3:6" x14ac:dyDescent="0.25">
      <c r="C182" s="82"/>
      <c r="D182" s="82"/>
      <c r="E182" s="79"/>
      <c r="F182" s="79"/>
    </row>
    <row r="183" spans="3:6" x14ac:dyDescent="0.25">
      <c r="C183" s="82"/>
      <c r="D183" s="82"/>
      <c r="E183" s="79"/>
      <c r="F183" s="79"/>
    </row>
    <row r="184" spans="3:6" x14ac:dyDescent="0.25">
      <c r="C184" s="82"/>
      <c r="D184" s="82"/>
      <c r="E184" s="79"/>
      <c r="F184" s="79"/>
    </row>
    <row r="185" spans="3:6" x14ac:dyDescent="0.25">
      <c r="C185" s="82"/>
      <c r="D185" s="82"/>
      <c r="E185" s="79"/>
      <c r="F185" s="79"/>
    </row>
    <row r="186" spans="3:6" x14ac:dyDescent="0.25">
      <c r="C186" s="82"/>
      <c r="D186" s="82"/>
      <c r="E186" s="79"/>
      <c r="F186" s="79"/>
    </row>
    <row r="187" spans="3:6" x14ac:dyDescent="0.25">
      <c r="C187" s="82"/>
      <c r="D187" s="82"/>
      <c r="E187" s="79"/>
      <c r="F187" s="79"/>
    </row>
    <row r="188" spans="3:6" x14ac:dyDescent="0.25">
      <c r="C188" s="82"/>
      <c r="D188" s="82"/>
      <c r="E188" s="79"/>
      <c r="F188" s="79"/>
    </row>
    <row r="189" spans="3:6" x14ac:dyDescent="0.25">
      <c r="C189" s="82"/>
      <c r="D189" s="82"/>
      <c r="E189" s="79"/>
      <c r="F189" s="79"/>
    </row>
    <row r="190" spans="3:6" x14ac:dyDescent="0.25">
      <c r="C190" s="82"/>
      <c r="D190" s="82"/>
      <c r="E190" s="79"/>
      <c r="F190" s="79"/>
    </row>
    <row r="191" spans="3:6" x14ac:dyDescent="0.25">
      <c r="C191" s="82"/>
      <c r="D191" s="82"/>
      <c r="E191" s="79"/>
      <c r="F191" s="79"/>
    </row>
    <row r="192" spans="3:6" x14ac:dyDescent="0.25">
      <c r="C192" s="82"/>
      <c r="D192" s="82"/>
      <c r="E192" s="79"/>
      <c r="F192" s="79"/>
    </row>
    <row r="193" spans="3:6" x14ac:dyDescent="0.25">
      <c r="C193" s="82"/>
      <c r="D193" s="82"/>
      <c r="E193" s="79"/>
      <c r="F193" s="79"/>
    </row>
    <row r="194" spans="3:6" x14ac:dyDescent="0.25">
      <c r="C194" s="82"/>
      <c r="D194" s="82"/>
      <c r="E194" s="79"/>
      <c r="F194" s="79"/>
    </row>
    <row r="195" spans="3:6" x14ac:dyDescent="0.25">
      <c r="C195" s="82"/>
      <c r="D195" s="82"/>
      <c r="E195" s="79"/>
      <c r="F195" s="79"/>
    </row>
    <row r="196" spans="3:6" x14ac:dyDescent="0.25">
      <c r="C196" s="82"/>
      <c r="D196" s="82"/>
      <c r="E196" s="79"/>
      <c r="F196" s="79"/>
    </row>
    <row r="197" spans="3:6" x14ac:dyDescent="0.25">
      <c r="C197" s="82"/>
      <c r="D197" s="82"/>
      <c r="E197" s="79"/>
      <c r="F197" s="79"/>
    </row>
    <row r="198" spans="3:6" x14ac:dyDescent="0.25">
      <c r="C198" s="82"/>
      <c r="D198" s="82"/>
      <c r="E198" s="79"/>
      <c r="F198" s="79"/>
    </row>
    <row r="199" spans="3:6" x14ac:dyDescent="0.25">
      <c r="C199" s="82"/>
      <c r="D199" s="82"/>
      <c r="E199" s="79"/>
      <c r="F199" s="79"/>
    </row>
    <row r="200" spans="3:6" x14ac:dyDescent="0.25">
      <c r="C200" s="82"/>
      <c r="D200" s="82"/>
      <c r="E200" s="79"/>
      <c r="F200" s="79"/>
    </row>
    <row r="201" spans="3:6" x14ac:dyDescent="0.25">
      <c r="C201" s="82"/>
      <c r="D201" s="82"/>
      <c r="E201" s="79"/>
      <c r="F201" s="79"/>
    </row>
    <row r="202" spans="3:6" x14ac:dyDescent="0.25">
      <c r="C202" s="82"/>
      <c r="D202" s="82"/>
      <c r="E202" s="79"/>
      <c r="F202" s="79"/>
    </row>
    <row r="203" spans="3:6" x14ac:dyDescent="0.25">
      <c r="C203" s="82"/>
      <c r="D203" s="82"/>
      <c r="E203" s="79"/>
      <c r="F203" s="79"/>
    </row>
    <row r="204" spans="3:6" x14ac:dyDescent="0.25">
      <c r="C204" s="82"/>
      <c r="D204" s="82"/>
      <c r="E204" s="79"/>
      <c r="F204" s="79"/>
    </row>
    <row r="205" spans="3:6" x14ac:dyDescent="0.25">
      <c r="C205" s="82"/>
      <c r="D205" s="82"/>
      <c r="E205" s="79"/>
      <c r="F205" s="79"/>
    </row>
    <row r="206" spans="3:6" x14ac:dyDescent="0.25">
      <c r="C206" s="82"/>
      <c r="D206" s="82"/>
      <c r="E206" s="79"/>
      <c r="F206" s="79"/>
    </row>
    <row r="207" spans="3:6" x14ac:dyDescent="0.25">
      <c r="C207" s="82"/>
      <c r="D207" s="82"/>
      <c r="E207" s="79"/>
      <c r="F207" s="79"/>
    </row>
    <row r="208" spans="3:6" x14ac:dyDescent="0.25">
      <c r="C208" s="82"/>
      <c r="D208" s="82"/>
      <c r="E208" s="79"/>
      <c r="F208" s="79"/>
    </row>
    <row r="209" spans="3:6" x14ac:dyDescent="0.25">
      <c r="C209" s="82"/>
      <c r="D209" s="82"/>
      <c r="E209" s="79"/>
      <c r="F209" s="79"/>
    </row>
    <row r="210" spans="3:6" x14ac:dyDescent="0.25">
      <c r="C210" s="82"/>
      <c r="D210" s="82"/>
      <c r="E210" s="79"/>
      <c r="F210" s="79"/>
    </row>
    <row r="211" spans="3:6" x14ac:dyDescent="0.25">
      <c r="C211" s="82"/>
      <c r="D211" s="82"/>
      <c r="E211" s="79"/>
      <c r="F211" s="79"/>
    </row>
    <row r="212" spans="3:6" x14ac:dyDescent="0.25">
      <c r="C212" s="82"/>
      <c r="D212" s="82"/>
      <c r="E212" s="79"/>
      <c r="F212" s="79"/>
    </row>
    <row r="213" spans="3:6" x14ac:dyDescent="0.25">
      <c r="C213" s="82"/>
      <c r="D213" s="82"/>
      <c r="E213" s="79"/>
      <c r="F213" s="79"/>
    </row>
    <row r="214" spans="3:6" x14ac:dyDescent="0.25">
      <c r="C214" s="82"/>
      <c r="D214" s="82"/>
      <c r="E214" s="79"/>
      <c r="F214" s="79"/>
    </row>
    <row r="215" spans="3:6" x14ac:dyDescent="0.25">
      <c r="C215" s="82"/>
      <c r="D215" s="82"/>
      <c r="E215" s="79"/>
      <c r="F215" s="79"/>
    </row>
    <row r="216" spans="3:6" x14ac:dyDescent="0.25">
      <c r="C216" s="82"/>
      <c r="D216" s="82"/>
      <c r="E216" s="79"/>
      <c r="F216" s="79"/>
    </row>
    <row r="217" spans="3:6" x14ac:dyDescent="0.25">
      <c r="C217" s="82"/>
      <c r="D217" s="82"/>
      <c r="E217" s="79"/>
      <c r="F217" s="79"/>
    </row>
    <row r="218" spans="3:6" x14ac:dyDescent="0.25">
      <c r="C218" s="82"/>
      <c r="D218" s="82"/>
      <c r="E218" s="79"/>
      <c r="F218" s="79"/>
    </row>
    <row r="219" spans="3:6" x14ac:dyDescent="0.25">
      <c r="C219" s="82"/>
      <c r="D219" s="82"/>
      <c r="E219" s="79"/>
      <c r="F219" s="79"/>
    </row>
    <row r="220" spans="3:6" x14ac:dyDescent="0.25">
      <c r="C220" s="82"/>
      <c r="D220" s="82"/>
      <c r="E220" s="79"/>
      <c r="F220" s="79"/>
    </row>
    <row r="221" spans="3:6" x14ac:dyDescent="0.25">
      <c r="C221" s="82"/>
      <c r="D221" s="82"/>
      <c r="E221" s="79"/>
      <c r="F221" s="79"/>
    </row>
    <row r="222" spans="3:6" x14ac:dyDescent="0.25">
      <c r="C222" s="82"/>
      <c r="D222" s="82"/>
      <c r="E222" s="79"/>
      <c r="F222" s="79"/>
    </row>
    <row r="223" spans="3:6" x14ac:dyDescent="0.25">
      <c r="C223" s="82"/>
      <c r="D223" s="82"/>
      <c r="E223" s="79"/>
      <c r="F223" s="79"/>
    </row>
    <row r="224" spans="3:6" x14ac:dyDescent="0.25">
      <c r="C224" s="82"/>
      <c r="D224" s="82"/>
      <c r="E224" s="79"/>
      <c r="F224" s="79"/>
    </row>
    <row r="225" spans="3:6" x14ac:dyDescent="0.25">
      <c r="C225" s="82"/>
      <c r="D225" s="82"/>
      <c r="E225" s="79"/>
      <c r="F225" s="79"/>
    </row>
    <row r="226" spans="3:6" x14ac:dyDescent="0.25">
      <c r="C226" s="82"/>
      <c r="D226" s="82"/>
      <c r="E226" s="79"/>
      <c r="F226" s="79"/>
    </row>
    <row r="227" spans="3:6" x14ac:dyDescent="0.25">
      <c r="C227" s="82"/>
      <c r="D227" s="82"/>
      <c r="E227" s="79"/>
      <c r="F227" s="79"/>
    </row>
    <row r="228" spans="3:6" x14ac:dyDescent="0.25">
      <c r="C228" s="82"/>
      <c r="D228" s="82"/>
      <c r="E228" s="79"/>
      <c r="F228" s="79"/>
    </row>
    <row r="229" spans="3:6" x14ac:dyDescent="0.25">
      <c r="C229" s="82"/>
      <c r="D229" s="82"/>
      <c r="E229" s="79"/>
      <c r="F229" s="79"/>
    </row>
    <row r="230" spans="3:6" x14ac:dyDescent="0.25">
      <c r="C230" s="82"/>
      <c r="D230" s="82"/>
      <c r="E230" s="79"/>
      <c r="F230" s="79"/>
    </row>
    <row r="231" spans="3:6" x14ac:dyDescent="0.25">
      <c r="C231" s="82"/>
      <c r="D231" s="82"/>
      <c r="E231" s="79"/>
      <c r="F231" s="79"/>
    </row>
    <row r="232" spans="3:6" x14ac:dyDescent="0.25">
      <c r="C232" s="82"/>
      <c r="D232" s="82"/>
      <c r="E232" s="79"/>
      <c r="F232" s="79"/>
    </row>
    <row r="233" spans="3:6" x14ac:dyDescent="0.25">
      <c r="C233" s="82"/>
      <c r="D233" s="82"/>
      <c r="E233" s="79"/>
      <c r="F233" s="79"/>
    </row>
    <row r="234" spans="3:6" x14ac:dyDescent="0.25">
      <c r="C234" s="82"/>
      <c r="D234" s="82"/>
      <c r="E234" s="79"/>
      <c r="F234" s="79"/>
    </row>
    <row r="235" spans="3:6" x14ac:dyDescent="0.25">
      <c r="C235" s="82"/>
      <c r="D235" s="82"/>
      <c r="E235" s="79"/>
      <c r="F235" s="79"/>
    </row>
    <row r="236" spans="3:6" x14ac:dyDescent="0.25">
      <c r="C236" s="82"/>
      <c r="D236" s="82"/>
      <c r="E236" s="79"/>
      <c r="F236" s="79"/>
    </row>
    <row r="237" spans="3:6" x14ac:dyDescent="0.25">
      <c r="C237" s="82"/>
      <c r="D237" s="82"/>
      <c r="E237" s="79"/>
      <c r="F237" s="79"/>
    </row>
    <row r="238" spans="3:6" x14ac:dyDescent="0.25">
      <c r="C238" s="82"/>
      <c r="D238" s="82"/>
      <c r="E238" s="79"/>
      <c r="F238" s="79"/>
    </row>
    <row r="239" spans="3:6" x14ac:dyDescent="0.25">
      <c r="C239" s="82"/>
      <c r="D239" s="82"/>
      <c r="E239" s="79"/>
      <c r="F239" s="79"/>
    </row>
    <row r="240" spans="3:6" x14ac:dyDescent="0.25">
      <c r="C240" s="82"/>
      <c r="D240" s="82"/>
      <c r="E240" s="79"/>
      <c r="F240" s="79"/>
    </row>
    <row r="241" spans="3:6" x14ac:dyDescent="0.25">
      <c r="C241" s="82"/>
      <c r="D241" s="82"/>
      <c r="E241" s="79"/>
      <c r="F241" s="79"/>
    </row>
    <row r="242" spans="3:6" x14ac:dyDescent="0.25">
      <c r="C242" s="82"/>
      <c r="D242" s="82"/>
      <c r="E242" s="79"/>
      <c r="F242" s="79"/>
    </row>
    <row r="243" spans="3:6" x14ac:dyDescent="0.25">
      <c r="C243" s="82"/>
      <c r="D243" s="82"/>
      <c r="E243" s="79"/>
      <c r="F243" s="79"/>
    </row>
    <row r="244" spans="3:6" x14ac:dyDescent="0.25">
      <c r="C244" s="82"/>
      <c r="D244" s="82"/>
      <c r="E244" s="79"/>
      <c r="F244" s="79"/>
    </row>
    <row r="245" spans="3:6" x14ac:dyDescent="0.25">
      <c r="C245" s="82"/>
      <c r="D245" s="82"/>
      <c r="E245" s="79"/>
      <c r="F245" s="79"/>
    </row>
    <row r="246" spans="3:6" x14ac:dyDescent="0.25">
      <c r="C246" s="82"/>
      <c r="D246" s="82"/>
      <c r="E246" s="79"/>
      <c r="F246" s="79"/>
    </row>
    <row r="247" spans="3:6" x14ac:dyDescent="0.25">
      <c r="C247" s="82"/>
      <c r="D247" s="82"/>
      <c r="E247" s="79"/>
      <c r="F247" s="79"/>
    </row>
    <row r="248" spans="3:6" x14ac:dyDescent="0.25">
      <c r="C248" s="82"/>
      <c r="D248" s="82"/>
      <c r="E248" s="79"/>
      <c r="F248" s="79"/>
    </row>
    <row r="249" spans="3:6" x14ac:dyDescent="0.25">
      <c r="C249" s="82"/>
      <c r="D249" s="82"/>
      <c r="E249" s="79"/>
      <c r="F249" s="79"/>
    </row>
    <row r="250" spans="3:6" x14ac:dyDescent="0.25">
      <c r="C250" s="82"/>
      <c r="D250" s="82"/>
      <c r="E250" s="79"/>
      <c r="F250" s="79"/>
    </row>
    <row r="251" spans="3:6" x14ac:dyDescent="0.25">
      <c r="C251" s="82"/>
      <c r="D251" s="82"/>
      <c r="E251" s="79"/>
      <c r="F251" s="79"/>
    </row>
    <row r="252" spans="3:6" x14ac:dyDescent="0.25">
      <c r="C252" s="82"/>
      <c r="D252" s="82"/>
      <c r="E252" s="79"/>
      <c r="F252" s="79"/>
    </row>
    <row r="253" spans="3:6" x14ac:dyDescent="0.25">
      <c r="C253" s="82"/>
      <c r="D253" s="82"/>
      <c r="E253" s="79"/>
      <c r="F253" s="79"/>
    </row>
    <row r="254" spans="3:6" x14ac:dyDescent="0.25">
      <c r="C254" s="82"/>
      <c r="D254" s="82"/>
      <c r="E254" s="79"/>
      <c r="F254" s="79"/>
    </row>
    <row r="255" spans="3:6" x14ac:dyDescent="0.25">
      <c r="C255" s="82"/>
      <c r="D255" s="82"/>
      <c r="E255" s="79"/>
      <c r="F255" s="79"/>
    </row>
    <row r="256" spans="3:6" x14ac:dyDescent="0.25">
      <c r="C256" s="82"/>
      <c r="D256" s="82"/>
      <c r="E256" s="79"/>
      <c r="F256" s="79"/>
    </row>
    <row r="257" spans="3:6" x14ac:dyDescent="0.25">
      <c r="C257" s="82"/>
      <c r="D257" s="82"/>
      <c r="E257" s="79"/>
      <c r="F257" s="79"/>
    </row>
    <row r="258" spans="3:6" x14ac:dyDescent="0.25">
      <c r="C258" s="82"/>
      <c r="D258" s="82"/>
      <c r="E258" s="79"/>
      <c r="F258" s="79"/>
    </row>
    <row r="259" spans="3:6" x14ac:dyDescent="0.25">
      <c r="C259" s="82"/>
      <c r="D259" s="82"/>
      <c r="E259" s="79"/>
      <c r="F259" s="79"/>
    </row>
    <row r="260" spans="3:6" x14ac:dyDescent="0.25">
      <c r="C260" s="82"/>
      <c r="D260" s="82"/>
      <c r="E260" s="79"/>
      <c r="F260" s="79"/>
    </row>
    <row r="261" spans="3:6" x14ac:dyDescent="0.25">
      <c r="C261" s="82"/>
      <c r="D261" s="82"/>
      <c r="E261" s="79"/>
      <c r="F261" s="79"/>
    </row>
    <row r="262" spans="3:6" x14ac:dyDescent="0.25">
      <c r="C262" s="82"/>
      <c r="D262" s="82"/>
      <c r="E262" s="79"/>
      <c r="F262" s="79"/>
    </row>
    <row r="263" spans="3:6" x14ac:dyDescent="0.25">
      <c r="C263" s="82"/>
      <c r="D263" s="82"/>
      <c r="E263" s="79"/>
      <c r="F263" s="79"/>
    </row>
    <row r="264" spans="3:6" x14ac:dyDescent="0.25">
      <c r="C264" s="82"/>
      <c r="D264" s="82"/>
      <c r="E264" s="79"/>
      <c r="F264" s="79"/>
    </row>
    <row r="265" spans="3:6" x14ac:dyDescent="0.25">
      <c r="C265" s="82"/>
      <c r="D265" s="82"/>
      <c r="E265" s="79"/>
      <c r="F265" s="79"/>
    </row>
    <row r="266" spans="3:6" x14ac:dyDescent="0.25">
      <c r="C266" s="82"/>
      <c r="D266" s="82"/>
      <c r="E266" s="79"/>
      <c r="F266" s="79"/>
    </row>
    <row r="267" spans="3:6" x14ac:dyDescent="0.25">
      <c r="C267" s="82"/>
      <c r="D267" s="82"/>
      <c r="E267" s="79"/>
      <c r="F267" s="79"/>
    </row>
    <row r="268" spans="3:6" x14ac:dyDescent="0.25">
      <c r="C268" s="82"/>
      <c r="D268" s="82"/>
      <c r="E268" s="79"/>
      <c r="F268" s="79"/>
    </row>
    <row r="269" spans="3:6" x14ac:dyDescent="0.25">
      <c r="C269" s="82"/>
      <c r="D269" s="82"/>
      <c r="E269" s="79"/>
      <c r="F269" s="79"/>
    </row>
    <row r="270" spans="3:6" x14ac:dyDescent="0.25">
      <c r="C270" s="82"/>
      <c r="D270" s="82"/>
      <c r="E270" s="79"/>
      <c r="F270" s="79"/>
    </row>
    <row r="271" spans="3:6" x14ac:dyDescent="0.25">
      <c r="C271" s="82"/>
      <c r="D271" s="82"/>
      <c r="E271" s="79"/>
      <c r="F271" s="79"/>
    </row>
    <row r="272" spans="3:6" x14ac:dyDescent="0.25">
      <c r="C272" s="82"/>
      <c r="D272" s="82"/>
      <c r="E272" s="79"/>
      <c r="F272" s="79"/>
    </row>
    <row r="273" spans="3:6" x14ac:dyDescent="0.25">
      <c r="C273" s="82"/>
      <c r="D273" s="82"/>
      <c r="E273" s="79"/>
      <c r="F273" s="79"/>
    </row>
    <row r="274" spans="3:6" x14ac:dyDescent="0.25">
      <c r="C274" s="82"/>
      <c r="D274" s="82"/>
      <c r="E274" s="79"/>
      <c r="F274" s="79"/>
    </row>
    <row r="275" spans="3:6" x14ac:dyDescent="0.25">
      <c r="C275" s="82"/>
      <c r="D275" s="82"/>
      <c r="E275" s="79"/>
      <c r="F275" s="79"/>
    </row>
    <row r="276" spans="3:6" x14ac:dyDescent="0.25">
      <c r="C276" s="82"/>
      <c r="D276" s="82"/>
      <c r="E276" s="79"/>
      <c r="F276" s="79"/>
    </row>
    <row r="277" spans="3:6" x14ac:dyDescent="0.25">
      <c r="C277" s="82"/>
      <c r="D277" s="82"/>
      <c r="E277" s="79"/>
      <c r="F277" s="79"/>
    </row>
    <row r="278" spans="3:6" x14ac:dyDescent="0.25">
      <c r="C278" s="82"/>
      <c r="D278" s="82"/>
      <c r="E278" s="79"/>
      <c r="F278" s="79"/>
    </row>
    <row r="279" spans="3:6" x14ac:dyDescent="0.25">
      <c r="C279" s="82"/>
      <c r="D279" s="82"/>
      <c r="E279" s="79"/>
      <c r="F279" s="79"/>
    </row>
    <row r="280" spans="3:6" x14ac:dyDescent="0.25">
      <c r="C280" s="82"/>
      <c r="D280" s="82"/>
      <c r="E280" s="79"/>
      <c r="F280" s="79"/>
    </row>
    <row r="281" spans="3:6" x14ac:dyDescent="0.25">
      <c r="C281" s="82"/>
      <c r="D281" s="82"/>
      <c r="E281" s="79"/>
      <c r="F281" s="79"/>
    </row>
    <row r="282" spans="3:6" x14ac:dyDescent="0.25">
      <c r="C282" s="82"/>
      <c r="D282" s="82"/>
      <c r="E282" s="79"/>
      <c r="F282" s="79"/>
    </row>
    <row r="283" spans="3:6" x14ac:dyDescent="0.25">
      <c r="C283" s="82"/>
      <c r="D283" s="82"/>
      <c r="E283" s="79"/>
      <c r="F283" s="79"/>
    </row>
    <row r="284" spans="3:6" x14ac:dyDescent="0.25">
      <c r="C284" s="82"/>
      <c r="D284" s="82"/>
      <c r="E284" s="79"/>
      <c r="F284" s="79"/>
    </row>
    <row r="285" spans="3:6" x14ac:dyDescent="0.25">
      <c r="C285" s="82"/>
      <c r="D285" s="82"/>
      <c r="E285" s="79"/>
      <c r="F285" s="79"/>
    </row>
    <row r="286" spans="3:6" x14ac:dyDescent="0.25">
      <c r="C286" s="82"/>
      <c r="D286" s="82"/>
      <c r="E286" s="79"/>
      <c r="F286" s="79"/>
    </row>
    <row r="287" spans="3:6" x14ac:dyDescent="0.25">
      <c r="C287" s="82"/>
      <c r="D287" s="82"/>
      <c r="E287" s="79"/>
      <c r="F287" s="79"/>
    </row>
    <row r="288" spans="3:6" x14ac:dyDescent="0.25">
      <c r="C288" s="82"/>
      <c r="D288" s="82"/>
      <c r="E288" s="79"/>
      <c r="F288" s="79"/>
    </row>
    <row r="289" spans="3:6" x14ac:dyDescent="0.25">
      <c r="C289" s="82"/>
      <c r="D289" s="82"/>
      <c r="E289" s="79"/>
      <c r="F289" s="79"/>
    </row>
    <row r="290" spans="3:6" x14ac:dyDescent="0.25">
      <c r="C290" s="82"/>
      <c r="D290" s="82"/>
      <c r="E290" s="79"/>
      <c r="F290" s="79"/>
    </row>
    <row r="291" spans="3:6" x14ac:dyDescent="0.25">
      <c r="C291" s="82"/>
      <c r="D291" s="82"/>
      <c r="E291" s="79"/>
      <c r="F291" s="79"/>
    </row>
    <row r="292" spans="3:6" x14ac:dyDescent="0.25">
      <c r="C292" s="82"/>
      <c r="D292" s="82"/>
      <c r="E292" s="79"/>
      <c r="F292" s="79"/>
    </row>
    <row r="293" spans="3:6" x14ac:dyDescent="0.25">
      <c r="C293" s="82"/>
      <c r="D293" s="82"/>
      <c r="E293" s="79"/>
      <c r="F293" s="79"/>
    </row>
    <row r="294" spans="3:6" x14ac:dyDescent="0.25">
      <c r="C294" s="82"/>
      <c r="D294" s="82"/>
      <c r="E294" s="79"/>
      <c r="F294" s="79"/>
    </row>
    <row r="295" spans="3:6" x14ac:dyDescent="0.25">
      <c r="C295" s="82"/>
      <c r="D295" s="82"/>
      <c r="E295" s="79"/>
      <c r="F295" s="79"/>
    </row>
    <row r="296" spans="3:6" x14ac:dyDescent="0.25">
      <c r="C296" s="82"/>
      <c r="D296" s="82"/>
      <c r="E296" s="79"/>
      <c r="F296" s="79"/>
    </row>
    <row r="297" spans="3:6" x14ac:dyDescent="0.25">
      <c r="C297" s="82"/>
      <c r="D297" s="82"/>
      <c r="E297" s="79"/>
      <c r="F297" s="79"/>
    </row>
    <row r="298" spans="3:6" x14ac:dyDescent="0.25">
      <c r="C298" s="82"/>
      <c r="D298" s="82"/>
      <c r="E298" s="79"/>
      <c r="F298" s="79"/>
    </row>
    <row r="299" spans="3:6" x14ac:dyDescent="0.25">
      <c r="C299" s="82"/>
      <c r="D299" s="82"/>
      <c r="E299" s="79"/>
      <c r="F299" s="79"/>
    </row>
    <row r="300" spans="3:6" x14ac:dyDescent="0.25">
      <c r="C300" s="82"/>
      <c r="D300" s="82"/>
      <c r="E300" s="79"/>
      <c r="F300" s="79"/>
    </row>
    <row r="301" spans="3:6" x14ac:dyDescent="0.25">
      <c r="C301" s="82"/>
      <c r="D301" s="82"/>
      <c r="E301" s="79"/>
      <c r="F301" s="79"/>
    </row>
    <row r="302" spans="3:6" x14ac:dyDescent="0.25">
      <c r="C302" s="82"/>
      <c r="D302" s="82"/>
      <c r="E302" s="79"/>
      <c r="F302" s="79"/>
    </row>
    <row r="303" spans="3:6" x14ac:dyDescent="0.25">
      <c r="C303" s="82"/>
      <c r="D303" s="82"/>
      <c r="E303" s="79"/>
      <c r="F303" s="79"/>
    </row>
    <row r="304" spans="3:6" x14ac:dyDescent="0.25">
      <c r="C304" s="82"/>
      <c r="D304" s="82"/>
      <c r="E304" s="79"/>
      <c r="F304" s="79"/>
    </row>
    <row r="305" spans="3:6" x14ac:dyDescent="0.25">
      <c r="C305" s="82"/>
      <c r="D305" s="82"/>
      <c r="E305" s="79"/>
      <c r="F305" s="79"/>
    </row>
    <row r="306" spans="3:6" x14ac:dyDescent="0.25">
      <c r="C306" s="82"/>
      <c r="D306" s="82"/>
      <c r="E306" s="79"/>
      <c r="F306" s="79"/>
    </row>
    <row r="307" spans="3:6" x14ac:dyDescent="0.25">
      <c r="C307" s="82"/>
      <c r="D307" s="82"/>
      <c r="E307" s="79"/>
      <c r="F307" s="79"/>
    </row>
    <row r="308" spans="3:6" x14ac:dyDescent="0.25">
      <c r="C308" s="82"/>
      <c r="D308" s="82"/>
      <c r="E308" s="79"/>
      <c r="F308" s="79"/>
    </row>
    <row r="309" spans="3:6" x14ac:dyDescent="0.25">
      <c r="C309" s="82"/>
      <c r="D309" s="82"/>
      <c r="E309" s="79"/>
      <c r="F309" s="79"/>
    </row>
    <row r="310" spans="3:6" x14ac:dyDescent="0.25">
      <c r="C310" s="82"/>
      <c r="D310" s="82"/>
      <c r="E310" s="79"/>
      <c r="F310" s="79"/>
    </row>
    <row r="311" spans="3:6" x14ac:dyDescent="0.25">
      <c r="C311" s="82"/>
      <c r="D311" s="82"/>
      <c r="E311" s="79"/>
      <c r="F311" s="79"/>
    </row>
    <row r="312" spans="3:6" x14ac:dyDescent="0.25">
      <c r="C312" s="82"/>
      <c r="D312" s="82"/>
      <c r="E312" s="79"/>
      <c r="F312" s="79"/>
    </row>
    <row r="313" spans="3:6" x14ac:dyDescent="0.25">
      <c r="C313" s="82"/>
      <c r="D313" s="82"/>
      <c r="E313" s="79"/>
      <c r="F313" s="79"/>
    </row>
    <row r="314" spans="3:6" x14ac:dyDescent="0.25">
      <c r="C314" s="82"/>
      <c r="D314" s="82"/>
      <c r="E314" s="79"/>
      <c r="F314" s="79"/>
    </row>
    <row r="315" spans="3:6" x14ac:dyDescent="0.25">
      <c r="C315" s="82"/>
      <c r="D315" s="82"/>
      <c r="E315" s="79"/>
      <c r="F315" s="79"/>
    </row>
    <row r="316" spans="3:6" x14ac:dyDescent="0.25">
      <c r="C316" s="82"/>
      <c r="D316" s="82"/>
      <c r="E316" s="79"/>
      <c r="F316" s="79"/>
    </row>
    <row r="317" spans="3:6" x14ac:dyDescent="0.25">
      <c r="C317" s="82"/>
      <c r="D317" s="82"/>
      <c r="E317" s="79"/>
      <c r="F317" s="79"/>
    </row>
    <row r="318" spans="3:6" x14ac:dyDescent="0.25">
      <c r="C318" s="82"/>
      <c r="D318" s="82"/>
      <c r="E318" s="79"/>
      <c r="F318" s="79"/>
    </row>
    <row r="319" spans="3:6" x14ac:dyDescent="0.25">
      <c r="C319" s="82"/>
      <c r="D319" s="82"/>
      <c r="E319" s="79"/>
      <c r="F319" s="79"/>
    </row>
    <row r="320" spans="3:6" x14ac:dyDescent="0.25">
      <c r="C320" s="82"/>
      <c r="D320" s="82"/>
      <c r="E320" s="79"/>
      <c r="F320" s="79"/>
    </row>
    <row r="321" spans="3:6" x14ac:dyDescent="0.25">
      <c r="C321" s="82"/>
      <c r="D321" s="82"/>
      <c r="E321" s="79"/>
      <c r="F321" s="79"/>
    </row>
    <row r="322" spans="3:6" x14ac:dyDescent="0.25">
      <c r="C322" s="82"/>
      <c r="D322" s="82"/>
      <c r="E322" s="79"/>
      <c r="F322" s="79"/>
    </row>
    <row r="323" spans="3:6" x14ac:dyDescent="0.25">
      <c r="C323" s="82"/>
      <c r="D323" s="82"/>
      <c r="E323" s="79"/>
      <c r="F323" s="79"/>
    </row>
    <row r="324" spans="3:6" x14ac:dyDescent="0.25">
      <c r="C324" s="82"/>
      <c r="D324" s="82"/>
      <c r="E324" s="79"/>
      <c r="F324" s="79"/>
    </row>
    <row r="325" spans="3:6" x14ac:dyDescent="0.25">
      <c r="C325" s="82"/>
      <c r="D325" s="82"/>
      <c r="E325" s="79"/>
      <c r="F325" s="79"/>
    </row>
    <row r="326" spans="3:6" x14ac:dyDescent="0.25">
      <c r="C326" s="82"/>
      <c r="D326" s="82"/>
      <c r="E326" s="79"/>
      <c r="F326" s="79"/>
    </row>
    <row r="327" spans="3:6" x14ac:dyDescent="0.25">
      <c r="C327" s="82"/>
      <c r="D327" s="82"/>
      <c r="E327" s="79"/>
      <c r="F327" s="79"/>
    </row>
    <row r="328" spans="3:6" x14ac:dyDescent="0.25">
      <c r="C328" s="82"/>
      <c r="D328" s="82"/>
      <c r="E328" s="79"/>
      <c r="F328" s="79"/>
    </row>
    <row r="329" spans="3:6" x14ac:dyDescent="0.25">
      <c r="C329" s="82"/>
      <c r="D329" s="82"/>
      <c r="E329" s="79"/>
      <c r="F329" s="79"/>
    </row>
    <row r="330" spans="3:6" x14ac:dyDescent="0.25">
      <c r="C330" s="82"/>
      <c r="D330" s="82"/>
      <c r="E330" s="79"/>
      <c r="F330" s="79"/>
    </row>
    <row r="331" spans="3:6" x14ac:dyDescent="0.25">
      <c r="C331" s="82"/>
      <c r="D331" s="82"/>
      <c r="E331" s="79"/>
      <c r="F331" s="79"/>
    </row>
    <row r="332" spans="3:6" x14ac:dyDescent="0.25">
      <c r="C332" s="82"/>
      <c r="D332" s="82"/>
      <c r="E332" s="79"/>
      <c r="F332" s="79"/>
    </row>
    <row r="333" spans="3:6" x14ac:dyDescent="0.25">
      <c r="C333" s="82"/>
      <c r="D333" s="82"/>
      <c r="E333" s="79"/>
      <c r="F333" s="79"/>
    </row>
    <row r="334" spans="3:6" x14ac:dyDescent="0.25">
      <c r="C334" s="82"/>
      <c r="D334" s="82"/>
      <c r="E334" s="79"/>
      <c r="F334" s="79"/>
    </row>
    <row r="335" spans="3:6" x14ac:dyDescent="0.25">
      <c r="C335" s="82"/>
      <c r="D335" s="82"/>
      <c r="E335" s="79"/>
      <c r="F335" s="79"/>
    </row>
    <row r="336" spans="3:6" x14ac:dyDescent="0.25">
      <c r="C336" s="82"/>
      <c r="D336" s="82"/>
      <c r="E336" s="79"/>
      <c r="F336" s="79"/>
    </row>
    <row r="337" spans="3:6" x14ac:dyDescent="0.25">
      <c r="C337" s="82"/>
      <c r="D337" s="82"/>
      <c r="E337" s="79"/>
      <c r="F337" s="79"/>
    </row>
    <row r="338" spans="3:6" x14ac:dyDescent="0.25">
      <c r="C338" s="82"/>
      <c r="D338" s="82"/>
      <c r="E338" s="79"/>
      <c r="F338" s="79"/>
    </row>
    <row r="339" spans="3:6" x14ac:dyDescent="0.25">
      <c r="C339" s="82"/>
      <c r="D339" s="82"/>
      <c r="E339" s="79"/>
      <c r="F339" s="79"/>
    </row>
    <row r="340" spans="3:6" x14ac:dyDescent="0.25">
      <c r="C340" s="82"/>
      <c r="D340" s="82"/>
      <c r="E340" s="79"/>
      <c r="F340" s="79"/>
    </row>
    <row r="341" spans="3:6" x14ac:dyDescent="0.25">
      <c r="C341" s="82"/>
      <c r="D341" s="82"/>
      <c r="E341" s="79"/>
      <c r="F341" s="79"/>
    </row>
    <row r="342" spans="3:6" x14ac:dyDescent="0.25">
      <c r="C342" s="82"/>
      <c r="D342" s="82"/>
      <c r="E342" s="79"/>
      <c r="F342" s="79"/>
    </row>
    <row r="343" spans="3:6" x14ac:dyDescent="0.25">
      <c r="C343" s="82"/>
      <c r="D343" s="82"/>
      <c r="E343" s="79"/>
      <c r="F343" s="79"/>
    </row>
    <row r="344" spans="3:6" x14ac:dyDescent="0.25">
      <c r="C344" s="82"/>
      <c r="D344" s="82"/>
      <c r="E344" s="79"/>
      <c r="F344" s="79"/>
    </row>
    <row r="345" spans="3:6" x14ac:dyDescent="0.25">
      <c r="C345" s="82"/>
      <c r="D345" s="82"/>
      <c r="E345" s="79"/>
      <c r="F345" s="79"/>
    </row>
    <row r="346" spans="3:6" x14ac:dyDescent="0.25">
      <c r="C346" s="82"/>
      <c r="D346" s="82"/>
      <c r="E346" s="79"/>
      <c r="F346" s="79"/>
    </row>
    <row r="347" spans="3:6" x14ac:dyDescent="0.25">
      <c r="C347" s="82"/>
      <c r="D347" s="82"/>
      <c r="E347" s="79"/>
      <c r="F347" s="79"/>
    </row>
    <row r="348" spans="3:6" x14ac:dyDescent="0.25">
      <c r="C348" s="82"/>
      <c r="D348" s="82"/>
      <c r="E348" s="79"/>
      <c r="F348" s="79"/>
    </row>
    <row r="349" spans="3:6" x14ac:dyDescent="0.25">
      <c r="C349" s="82"/>
      <c r="D349" s="82"/>
      <c r="E349" s="79"/>
      <c r="F349" s="79"/>
    </row>
    <row r="350" spans="3:6" x14ac:dyDescent="0.25">
      <c r="C350" s="82"/>
      <c r="D350" s="82"/>
      <c r="E350" s="79"/>
      <c r="F350" s="79"/>
    </row>
    <row r="351" spans="3:6" x14ac:dyDescent="0.25">
      <c r="C351" s="82"/>
      <c r="D351" s="82"/>
      <c r="E351" s="79"/>
      <c r="F351" s="79"/>
    </row>
    <row r="352" spans="3:6" x14ac:dyDescent="0.25">
      <c r="C352" s="82"/>
      <c r="D352" s="82"/>
      <c r="E352" s="79"/>
      <c r="F352" s="79"/>
    </row>
    <row r="353" spans="3:6" x14ac:dyDescent="0.25">
      <c r="C353" s="82"/>
      <c r="D353" s="82"/>
      <c r="E353" s="79"/>
      <c r="F353" s="79"/>
    </row>
    <row r="354" spans="3:6" x14ac:dyDescent="0.25">
      <c r="C354" s="82"/>
      <c r="D354" s="82"/>
      <c r="E354" s="79"/>
      <c r="F354" s="79"/>
    </row>
    <row r="355" spans="3:6" x14ac:dyDescent="0.25">
      <c r="C355" s="82"/>
      <c r="D355" s="82"/>
      <c r="E355" s="79"/>
      <c r="F355" s="79"/>
    </row>
    <row r="356" spans="3:6" x14ac:dyDescent="0.25">
      <c r="C356" s="82"/>
      <c r="D356" s="82"/>
      <c r="E356" s="79"/>
      <c r="F356" s="79"/>
    </row>
    <row r="357" spans="3:6" x14ac:dyDescent="0.25">
      <c r="C357" s="82"/>
      <c r="D357" s="82"/>
      <c r="E357" s="79"/>
      <c r="F357" s="79"/>
    </row>
    <row r="358" spans="3:6" x14ac:dyDescent="0.25">
      <c r="C358" s="82"/>
      <c r="D358" s="82"/>
      <c r="E358" s="79"/>
      <c r="F358" s="79"/>
    </row>
    <row r="359" spans="3:6" x14ac:dyDescent="0.25">
      <c r="C359" s="82"/>
      <c r="D359" s="82"/>
      <c r="E359" s="79"/>
      <c r="F359" s="79"/>
    </row>
    <row r="360" spans="3:6" x14ac:dyDescent="0.25">
      <c r="C360" s="82"/>
      <c r="D360" s="82"/>
      <c r="E360" s="79"/>
      <c r="F360" s="79"/>
    </row>
    <row r="361" spans="3:6" x14ac:dyDescent="0.25">
      <c r="C361" s="82"/>
      <c r="D361" s="82"/>
      <c r="E361" s="79"/>
      <c r="F361" s="79"/>
    </row>
    <row r="362" spans="3:6" x14ac:dyDescent="0.25">
      <c r="C362" s="82"/>
      <c r="D362" s="82"/>
      <c r="E362" s="79"/>
      <c r="F362" s="79"/>
    </row>
    <row r="363" spans="3:6" x14ac:dyDescent="0.25">
      <c r="C363" s="82"/>
      <c r="D363" s="82"/>
      <c r="E363" s="79"/>
      <c r="F363" s="79"/>
    </row>
    <row r="364" spans="3:6" x14ac:dyDescent="0.25">
      <c r="C364" s="82"/>
      <c r="D364" s="82"/>
      <c r="E364" s="79"/>
      <c r="F364" s="79"/>
    </row>
    <row r="365" spans="3:6" x14ac:dyDescent="0.25">
      <c r="C365" s="82"/>
      <c r="D365" s="82"/>
      <c r="E365" s="79"/>
      <c r="F365" s="79"/>
    </row>
    <row r="366" spans="3:6" x14ac:dyDescent="0.25">
      <c r="C366" s="82"/>
      <c r="D366" s="82"/>
      <c r="E366" s="79"/>
      <c r="F366" s="79"/>
    </row>
    <row r="367" spans="3:6" x14ac:dyDescent="0.25">
      <c r="C367" s="82"/>
      <c r="D367" s="82"/>
      <c r="E367" s="79"/>
      <c r="F367" s="79"/>
    </row>
    <row r="368" spans="3:6" x14ac:dyDescent="0.25">
      <c r="C368" s="82"/>
      <c r="D368" s="82"/>
      <c r="E368" s="79"/>
      <c r="F368" s="79"/>
    </row>
    <row r="369" spans="3:6" x14ac:dyDescent="0.25">
      <c r="C369" s="82"/>
      <c r="D369" s="82"/>
      <c r="E369" s="79"/>
      <c r="F369" s="79"/>
    </row>
    <row r="370" spans="3:6" x14ac:dyDescent="0.25">
      <c r="C370" s="82"/>
      <c r="D370" s="82"/>
      <c r="E370" s="79"/>
      <c r="F370" s="79"/>
    </row>
    <row r="371" spans="3:6" x14ac:dyDescent="0.25">
      <c r="C371" s="82"/>
      <c r="D371" s="82"/>
      <c r="E371" s="79"/>
      <c r="F371" s="79"/>
    </row>
    <row r="372" spans="3:6" x14ac:dyDescent="0.25">
      <c r="C372" s="82"/>
      <c r="D372" s="82"/>
      <c r="E372" s="79"/>
      <c r="F372" s="79"/>
    </row>
    <row r="373" spans="3:6" x14ac:dyDescent="0.25">
      <c r="C373" s="82"/>
      <c r="D373" s="82"/>
      <c r="E373" s="79"/>
      <c r="F373" s="79"/>
    </row>
    <row r="374" spans="3:6" x14ac:dyDescent="0.25">
      <c r="C374" s="82"/>
      <c r="D374" s="82"/>
      <c r="E374" s="79"/>
      <c r="F374" s="79"/>
    </row>
    <row r="375" spans="3:6" x14ac:dyDescent="0.25">
      <c r="C375" s="82"/>
      <c r="D375" s="82"/>
      <c r="E375" s="79"/>
      <c r="F375" s="79"/>
    </row>
    <row r="376" spans="3:6" x14ac:dyDescent="0.25">
      <c r="C376" s="82"/>
      <c r="D376" s="82"/>
      <c r="E376" s="79"/>
      <c r="F376" s="79"/>
    </row>
    <row r="377" spans="3:6" x14ac:dyDescent="0.25">
      <c r="C377" s="82"/>
      <c r="D377" s="82"/>
      <c r="E377" s="79"/>
      <c r="F377" s="79"/>
    </row>
    <row r="378" spans="3:6" x14ac:dyDescent="0.25">
      <c r="C378" s="82"/>
      <c r="D378" s="82"/>
      <c r="E378" s="79"/>
      <c r="F378" s="79"/>
    </row>
    <row r="379" spans="3:6" x14ac:dyDescent="0.25">
      <c r="C379" s="82"/>
      <c r="D379" s="82"/>
      <c r="E379" s="79"/>
      <c r="F379" s="79"/>
    </row>
    <row r="380" spans="3:6" x14ac:dyDescent="0.25">
      <c r="C380" s="82"/>
      <c r="D380" s="82"/>
      <c r="E380" s="79"/>
      <c r="F380" s="79"/>
    </row>
    <row r="381" spans="3:6" x14ac:dyDescent="0.25">
      <c r="C381" s="82"/>
      <c r="D381" s="82"/>
      <c r="E381" s="79"/>
      <c r="F381" s="79"/>
    </row>
    <row r="382" spans="3:6" x14ac:dyDescent="0.25">
      <c r="C382" s="82"/>
      <c r="D382" s="82"/>
      <c r="E382" s="79"/>
      <c r="F382" s="79"/>
    </row>
    <row r="383" spans="3:6" x14ac:dyDescent="0.25">
      <c r="C383" s="82"/>
      <c r="D383" s="82"/>
      <c r="E383" s="79"/>
      <c r="F383" s="79"/>
    </row>
    <row r="384" spans="3:6" x14ac:dyDescent="0.25">
      <c r="C384" s="82"/>
      <c r="D384" s="82"/>
      <c r="E384" s="79"/>
      <c r="F384" s="79"/>
    </row>
    <row r="385" spans="3:6" x14ac:dyDescent="0.25">
      <c r="C385" s="82"/>
      <c r="D385" s="82"/>
      <c r="E385" s="79"/>
      <c r="F385" s="79"/>
    </row>
    <row r="386" spans="3:6" x14ac:dyDescent="0.25">
      <c r="C386" s="82"/>
      <c r="D386" s="82"/>
      <c r="E386" s="79"/>
      <c r="F386" s="79"/>
    </row>
    <row r="387" spans="3:6" x14ac:dyDescent="0.25">
      <c r="C387" s="82"/>
      <c r="D387" s="82"/>
      <c r="E387" s="79"/>
      <c r="F387" s="79"/>
    </row>
    <row r="388" spans="3:6" x14ac:dyDescent="0.25">
      <c r="C388" s="82"/>
      <c r="D388" s="82"/>
      <c r="E388" s="79"/>
      <c r="F388" s="79"/>
    </row>
    <row r="389" spans="3:6" x14ac:dyDescent="0.25">
      <c r="C389" s="82"/>
      <c r="D389" s="82"/>
      <c r="E389" s="79"/>
      <c r="F389" s="79"/>
    </row>
    <row r="390" spans="3:6" x14ac:dyDescent="0.25">
      <c r="C390" s="82"/>
      <c r="D390" s="82"/>
      <c r="E390" s="79"/>
      <c r="F390" s="79"/>
    </row>
    <row r="391" spans="3:6" x14ac:dyDescent="0.25">
      <c r="C391" s="82"/>
      <c r="D391" s="82"/>
      <c r="E391" s="79"/>
      <c r="F391" s="79"/>
    </row>
    <row r="392" spans="3:6" x14ac:dyDescent="0.25">
      <c r="C392" s="82"/>
      <c r="D392" s="82"/>
      <c r="E392" s="79"/>
      <c r="F392" s="79"/>
    </row>
    <row r="393" spans="3:6" x14ac:dyDescent="0.25">
      <c r="C393" s="82"/>
      <c r="D393" s="82"/>
      <c r="E393" s="79"/>
      <c r="F393" s="79"/>
    </row>
    <row r="394" spans="3:6" x14ac:dyDescent="0.25">
      <c r="C394" s="82"/>
      <c r="D394" s="82"/>
      <c r="E394" s="79"/>
      <c r="F394" s="79"/>
    </row>
    <row r="395" spans="3:6" x14ac:dyDescent="0.25">
      <c r="C395" s="82"/>
      <c r="D395" s="82"/>
      <c r="E395" s="79"/>
      <c r="F395" s="79"/>
    </row>
    <row r="396" spans="3:6" x14ac:dyDescent="0.25">
      <c r="C396" s="82"/>
      <c r="D396" s="82"/>
      <c r="E396" s="79"/>
      <c r="F396" s="79"/>
    </row>
    <row r="397" spans="3:6" x14ac:dyDescent="0.25">
      <c r="C397" s="82"/>
      <c r="D397" s="82"/>
      <c r="E397" s="79"/>
      <c r="F397" s="79"/>
    </row>
    <row r="398" spans="3:6" x14ac:dyDescent="0.25">
      <c r="C398" s="82"/>
      <c r="D398" s="82"/>
      <c r="E398" s="79"/>
      <c r="F398" s="79"/>
    </row>
    <row r="399" spans="3:6" x14ac:dyDescent="0.25">
      <c r="C399" s="82"/>
      <c r="D399" s="82"/>
      <c r="E399" s="79"/>
      <c r="F399" s="79"/>
    </row>
    <row r="400" spans="3:6" x14ac:dyDescent="0.25">
      <c r="C400" s="82"/>
      <c r="D400" s="82"/>
      <c r="E400" s="79"/>
      <c r="F400" s="79"/>
    </row>
    <row r="401" spans="3:6" x14ac:dyDescent="0.25">
      <c r="C401" s="82"/>
      <c r="D401" s="82"/>
      <c r="E401" s="79"/>
      <c r="F401" s="79"/>
    </row>
    <row r="402" spans="3:6" x14ac:dyDescent="0.25">
      <c r="C402" s="82"/>
      <c r="D402" s="82"/>
      <c r="E402" s="79"/>
      <c r="F402" s="79"/>
    </row>
    <row r="403" spans="3:6" x14ac:dyDescent="0.25">
      <c r="C403" s="82"/>
      <c r="D403" s="82"/>
      <c r="E403" s="79"/>
      <c r="F403" s="79"/>
    </row>
    <row r="404" spans="3:6" x14ac:dyDescent="0.25">
      <c r="C404" s="82"/>
      <c r="D404" s="82"/>
      <c r="E404" s="79"/>
      <c r="F404" s="79"/>
    </row>
    <row r="405" spans="3:6" x14ac:dyDescent="0.25">
      <c r="C405" s="82"/>
      <c r="D405" s="82"/>
      <c r="E405" s="79"/>
      <c r="F405" s="79"/>
    </row>
    <row r="406" spans="3:6" x14ac:dyDescent="0.25">
      <c r="C406" s="82"/>
      <c r="D406" s="82"/>
      <c r="E406" s="79"/>
      <c r="F406" s="79"/>
    </row>
    <row r="407" spans="3:6" x14ac:dyDescent="0.25">
      <c r="C407" s="82"/>
      <c r="D407" s="82"/>
      <c r="E407" s="79"/>
      <c r="F407" s="79"/>
    </row>
    <row r="408" spans="3:6" x14ac:dyDescent="0.25">
      <c r="C408" s="82"/>
      <c r="D408" s="82"/>
      <c r="E408" s="79"/>
      <c r="F408" s="79"/>
    </row>
    <row r="409" spans="3:6" x14ac:dyDescent="0.25">
      <c r="C409" s="82"/>
      <c r="D409" s="82"/>
      <c r="E409" s="79"/>
      <c r="F409" s="79"/>
    </row>
    <row r="410" spans="3:6" x14ac:dyDescent="0.25">
      <c r="C410" s="82"/>
      <c r="D410" s="82"/>
      <c r="E410" s="79"/>
      <c r="F410" s="79"/>
    </row>
    <row r="411" spans="3:6" x14ac:dyDescent="0.25">
      <c r="C411" s="82"/>
      <c r="D411" s="82"/>
      <c r="E411" s="79"/>
      <c r="F411" s="79"/>
    </row>
    <row r="412" spans="3:6" x14ac:dyDescent="0.25">
      <c r="C412" s="82"/>
      <c r="D412" s="82"/>
      <c r="E412" s="79"/>
      <c r="F412" s="79"/>
    </row>
    <row r="413" spans="3:6" x14ac:dyDescent="0.25">
      <c r="C413" s="82"/>
      <c r="D413" s="82"/>
      <c r="E413" s="79"/>
      <c r="F413" s="79"/>
    </row>
    <row r="414" spans="3:6" x14ac:dyDescent="0.25">
      <c r="C414" s="82"/>
      <c r="D414" s="82"/>
      <c r="E414" s="79"/>
      <c r="F414" s="79"/>
    </row>
    <row r="415" spans="3:6" x14ac:dyDescent="0.25">
      <c r="C415" s="82"/>
      <c r="D415" s="82"/>
      <c r="E415" s="79"/>
      <c r="F415" s="79"/>
    </row>
    <row r="416" spans="3:6" x14ac:dyDescent="0.25">
      <c r="C416" s="82"/>
      <c r="D416" s="82"/>
      <c r="E416" s="79"/>
      <c r="F416" s="79"/>
    </row>
    <row r="417" spans="3:6" x14ac:dyDescent="0.25">
      <c r="C417" s="82"/>
      <c r="D417" s="82"/>
      <c r="E417" s="79"/>
      <c r="F417" s="79"/>
    </row>
    <row r="418" spans="3:6" x14ac:dyDescent="0.25">
      <c r="C418" s="82"/>
      <c r="D418" s="82"/>
      <c r="E418" s="79"/>
      <c r="F418" s="79"/>
    </row>
    <row r="419" spans="3:6" x14ac:dyDescent="0.25">
      <c r="C419" s="82"/>
      <c r="D419" s="82"/>
      <c r="E419" s="79"/>
      <c r="F419" s="79"/>
    </row>
    <row r="420" spans="3:6" x14ac:dyDescent="0.25">
      <c r="C420" s="82"/>
      <c r="D420" s="82"/>
      <c r="E420" s="79"/>
      <c r="F420" s="79"/>
    </row>
    <row r="421" spans="3:6" x14ac:dyDescent="0.25">
      <c r="C421" s="82"/>
      <c r="D421" s="82"/>
      <c r="E421" s="79"/>
      <c r="F421" s="79"/>
    </row>
    <row r="422" spans="3:6" x14ac:dyDescent="0.25">
      <c r="C422" s="82"/>
      <c r="D422" s="82"/>
      <c r="E422" s="79"/>
      <c r="F422" s="79"/>
    </row>
    <row r="423" spans="3:6" x14ac:dyDescent="0.25">
      <c r="C423" s="82"/>
      <c r="D423" s="82"/>
      <c r="E423" s="79"/>
      <c r="F423" s="79"/>
    </row>
    <row r="424" spans="3:6" x14ac:dyDescent="0.25">
      <c r="C424" s="82"/>
      <c r="D424" s="82"/>
      <c r="E424" s="79"/>
      <c r="F424" s="79"/>
    </row>
    <row r="425" spans="3:6" x14ac:dyDescent="0.25">
      <c r="C425" s="82"/>
      <c r="D425" s="82"/>
      <c r="E425" s="79"/>
      <c r="F425" s="79"/>
    </row>
    <row r="426" spans="3:6" x14ac:dyDescent="0.25">
      <c r="C426" s="82"/>
      <c r="D426" s="82"/>
      <c r="E426" s="79"/>
      <c r="F426" s="79"/>
    </row>
    <row r="427" spans="3:6" x14ac:dyDescent="0.25">
      <c r="C427" s="82"/>
      <c r="D427" s="82"/>
      <c r="E427" s="79"/>
      <c r="F427" s="79"/>
    </row>
    <row r="428" spans="3:6" x14ac:dyDescent="0.25">
      <c r="C428" s="82"/>
      <c r="D428" s="82"/>
      <c r="E428" s="79"/>
      <c r="F428" s="79"/>
    </row>
    <row r="429" spans="3:6" x14ac:dyDescent="0.25">
      <c r="C429" s="82"/>
      <c r="D429" s="82"/>
      <c r="E429" s="79"/>
      <c r="F429" s="79"/>
    </row>
    <row r="430" spans="3:6" x14ac:dyDescent="0.25">
      <c r="C430" s="82"/>
      <c r="D430" s="82"/>
      <c r="E430" s="79"/>
      <c r="F430" s="79"/>
    </row>
    <row r="431" spans="3:6" x14ac:dyDescent="0.25">
      <c r="C431" s="82"/>
      <c r="D431" s="82"/>
      <c r="E431" s="79"/>
      <c r="F431" s="79"/>
    </row>
    <row r="432" spans="3:6" x14ac:dyDescent="0.25">
      <c r="C432" s="82"/>
      <c r="D432" s="82"/>
      <c r="E432" s="79"/>
      <c r="F432" s="79"/>
    </row>
    <row r="433" spans="3:6" x14ac:dyDescent="0.25">
      <c r="C433" s="82"/>
      <c r="D433" s="82"/>
      <c r="E433" s="79"/>
      <c r="F433" s="79"/>
    </row>
    <row r="434" spans="3:6" x14ac:dyDescent="0.25">
      <c r="C434" s="82"/>
      <c r="D434" s="82"/>
      <c r="E434" s="79"/>
      <c r="F434" s="79"/>
    </row>
    <row r="435" spans="3:6" x14ac:dyDescent="0.25">
      <c r="C435" s="82"/>
      <c r="D435" s="82"/>
      <c r="E435" s="79"/>
      <c r="F435" s="79"/>
    </row>
    <row r="436" spans="3:6" x14ac:dyDescent="0.25">
      <c r="C436" s="82"/>
      <c r="D436" s="82"/>
      <c r="E436" s="79"/>
      <c r="F436" s="79"/>
    </row>
    <row r="437" spans="3:6" x14ac:dyDescent="0.25">
      <c r="C437" s="82"/>
      <c r="D437" s="82"/>
      <c r="E437" s="79"/>
      <c r="F437" s="79"/>
    </row>
    <row r="438" spans="3:6" x14ac:dyDescent="0.25">
      <c r="C438" s="82"/>
      <c r="D438" s="82"/>
      <c r="E438" s="79"/>
      <c r="F438" s="79"/>
    </row>
    <row r="439" spans="3:6" x14ac:dyDescent="0.25">
      <c r="C439" s="82"/>
      <c r="D439" s="82"/>
      <c r="E439" s="79"/>
      <c r="F439" s="79"/>
    </row>
    <row r="440" spans="3:6" x14ac:dyDescent="0.25">
      <c r="C440" s="82"/>
      <c r="D440" s="82"/>
      <c r="E440" s="79"/>
      <c r="F440" s="79"/>
    </row>
    <row r="441" spans="3:6" x14ac:dyDescent="0.25">
      <c r="C441" s="82"/>
      <c r="D441" s="82"/>
      <c r="E441" s="79"/>
      <c r="F441" s="79"/>
    </row>
    <row r="442" spans="3:6" x14ac:dyDescent="0.25">
      <c r="C442" s="82"/>
      <c r="D442" s="82"/>
      <c r="E442" s="79"/>
      <c r="F442" s="79"/>
    </row>
    <row r="443" spans="3:6" x14ac:dyDescent="0.25">
      <c r="C443" s="82"/>
      <c r="D443" s="82"/>
      <c r="E443" s="79"/>
      <c r="F443" s="79"/>
    </row>
    <row r="444" spans="3:6" x14ac:dyDescent="0.25">
      <c r="C444" s="82"/>
      <c r="D444" s="82"/>
      <c r="E444" s="79"/>
      <c r="F444" s="79"/>
    </row>
    <row r="445" spans="3:6" x14ac:dyDescent="0.25">
      <c r="C445" s="82"/>
      <c r="D445" s="82"/>
      <c r="E445" s="79"/>
      <c r="F445" s="79"/>
    </row>
    <row r="446" spans="3:6" x14ac:dyDescent="0.25">
      <c r="C446" s="82"/>
      <c r="D446" s="82"/>
      <c r="E446" s="79"/>
      <c r="F446" s="79"/>
    </row>
    <row r="447" spans="3:6" x14ac:dyDescent="0.25">
      <c r="C447" s="82"/>
      <c r="D447" s="82"/>
      <c r="E447" s="79"/>
      <c r="F447" s="79"/>
    </row>
    <row r="448" spans="3:6" x14ac:dyDescent="0.25">
      <c r="C448" s="82"/>
      <c r="D448" s="82"/>
      <c r="E448" s="79"/>
      <c r="F448" s="79"/>
    </row>
    <row r="449" spans="3:6" x14ac:dyDescent="0.25">
      <c r="C449" s="82"/>
      <c r="D449" s="82"/>
      <c r="E449" s="79"/>
      <c r="F449" s="79"/>
    </row>
    <row r="450" spans="3:6" x14ac:dyDescent="0.25">
      <c r="C450" s="82"/>
      <c r="D450" s="82"/>
      <c r="E450" s="79"/>
      <c r="F450" s="79"/>
    </row>
    <row r="451" spans="3:6" x14ac:dyDescent="0.25">
      <c r="C451" s="82"/>
      <c r="D451" s="82"/>
      <c r="E451" s="79"/>
      <c r="F451" s="79"/>
    </row>
    <row r="452" spans="3:6" x14ac:dyDescent="0.25">
      <c r="C452" s="82"/>
      <c r="D452" s="82"/>
      <c r="E452" s="79"/>
      <c r="F452" s="79"/>
    </row>
    <row r="453" spans="3:6" x14ac:dyDescent="0.25">
      <c r="C453" s="82"/>
      <c r="D453" s="82"/>
      <c r="E453" s="79"/>
      <c r="F453" s="79"/>
    </row>
    <row r="454" spans="3:6" x14ac:dyDescent="0.25">
      <c r="C454" s="82"/>
      <c r="D454" s="82"/>
      <c r="E454" s="79"/>
      <c r="F454" s="79"/>
    </row>
    <row r="455" spans="3:6" x14ac:dyDescent="0.25">
      <c r="C455" s="82"/>
      <c r="D455" s="82"/>
      <c r="E455" s="79"/>
      <c r="F455" s="79"/>
    </row>
    <row r="456" spans="3:6" x14ac:dyDescent="0.25">
      <c r="C456" s="82"/>
      <c r="D456" s="82"/>
      <c r="E456" s="79"/>
      <c r="F456" s="79"/>
    </row>
    <row r="457" spans="3:6" x14ac:dyDescent="0.25">
      <c r="C457" s="82"/>
      <c r="D457" s="82"/>
      <c r="E457" s="79"/>
      <c r="F457" s="79"/>
    </row>
    <row r="458" spans="3:6" x14ac:dyDescent="0.25">
      <c r="C458" s="82"/>
      <c r="D458" s="82"/>
      <c r="E458" s="79"/>
      <c r="F458" s="79"/>
    </row>
    <row r="459" spans="3:6" x14ac:dyDescent="0.25">
      <c r="C459" s="82"/>
      <c r="D459" s="82"/>
      <c r="E459" s="79"/>
      <c r="F459" s="79"/>
    </row>
    <row r="460" spans="3:6" x14ac:dyDescent="0.25">
      <c r="C460" s="82"/>
      <c r="D460" s="82"/>
      <c r="E460" s="79"/>
      <c r="F460" s="79"/>
    </row>
    <row r="461" spans="3:6" x14ac:dyDescent="0.25">
      <c r="C461" s="82"/>
      <c r="D461" s="82"/>
      <c r="E461" s="79"/>
      <c r="F461" s="79"/>
    </row>
    <row r="462" spans="3:6" x14ac:dyDescent="0.25">
      <c r="C462" s="82"/>
      <c r="D462" s="82"/>
      <c r="E462" s="79"/>
      <c r="F462" s="79"/>
    </row>
    <row r="463" spans="3:6" x14ac:dyDescent="0.25">
      <c r="C463" s="82"/>
      <c r="D463" s="82"/>
      <c r="E463" s="79"/>
      <c r="F463" s="79"/>
    </row>
    <row r="464" spans="3:6" x14ac:dyDescent="0.25">
      <c r="C464" s="82"/>
      <c r="D464" s="82"/>
      <c r="E464" s="79"/>
      <c r="F464" s="79"/>
    </row>
    <row r="465" spans="3:6" x14ac:dyDescent="0.25">
      <c r="C465" s="82"/>
      <c r="D465" s="82"/>
      <c r="E465" s="79"/>
      <c r="F465" s="79"/>
    </row>
    <row r="466" spans="3:6" x14ac:dyDescent="0.25">
      <c r="C466" s="82"/>
      <c r="D466" s="82"/>
      <c r="E466" s="79"/>
      <c r="F466" s="79"/>
    </row>
    <row r="467" spans="3:6" x14ac:dyDescent="0.25">
      <c r="C467" s="82"/>
      <c r="D467" s="82"/>
      <c r="E467" s="79"/>
      <c r="F467" s="79"/>
    </row>
    <row r="468" spans="3:6" x14ac:dyDescent="0.25">
      <c r="C468" s="82"/>
      <c r="D468" s="82"/>
      <c r="E468" s="79"/>
      <c r="F468" s="79"/>
    </row>
    <row r="469" spans="3:6" x14ac:dyDescent="0.25">
      <c r="C469" s="82"/>
      <c r="D469" s="82"/>
      <c r="E469" s="79"/>
      <c r="F469" s="79"/>
    </row>
    <row r="470" spans="3:6" x14ac:dyDescent="0.25">
      <c r="C470" s="82"/>
      <c r="D470" s="82"/>
    </row>
    <row r="471" spans="3:6" x14ac:dyDescent="0.25">
      <c r="C471" s="77"/>
      <c r="D471" s="77"/>
    </row>
    <row r="472" spans="3:6" x14ac:dyDescent="0.25">
      <c r="C472" s="77"/>
      <c r="D472" s="77"/>
    </row>
    <row r="473" spans="3:6" x14ac:dyDescent="0.25">
      <c r="C473" s="77"/>
      <c r="D473" s="77"/>
    </row>
    <row r="474" spans="3:6" x14ac:dyDescent="0.25">
      <c r="C474" s="77"/>
      <c r="D474" s="77"/>
    </row>
    <row r="475" spans="3:6" x14ac:dyDescent="0.25">
      <c r="C475" s="77"/>
      <c r="D475" s="77"/>
    </row>
  </sheetData>
  <conditionalFormatting sqref="C85 C94:C108">
    <cfRule type="cellIs" dxfId="49" priority="69" operator="equal">
      <formula>"#NA"</formula>
    </cfRule>
  </conditionalFormatting>
  <conditionalFormatting sqref="N11:Q11">
    <cfRule type="cellIs" dxfId="48" priority="58" operator="equal">
      <formula>"#NA"</formula>
    </cfRule>
  </conditionalFormatting>
  <conditionalFormatting sqref="R11:T11">
    <cfRule type="cellIs" dxfId="47" priority="57" operator="equal">
      <formula>"#NA"</formula>
    </cfRule>
  </conditionalFormatting>
  <conditionalFormatting sqref="N10:Q10">
    <cfRule type="cellIs" dxfId="46" priority="56" operator="equal">
      <formula>"#NA"</formula>
    </cfRule>
  </conditionalFormatting>
  <conditionalFormatting sqref="R10:T10">
    <cfRule type="cellIs" dxfId="45" priority="55" operator="equal">
      <formula>"#NA"</formula>
    </cfRule>
  </conditionalFormatting>
  <conditionalFormatting sqref="N7:Q7">
    <cfRule type="cellIs" dxfId="44" priority="54" operator="equal">
      <formula>"#NA"</formula>
    </cfRule>
  </conditionalFormatting>
  <conditionalFormatting sqref="R7:T7">
    <cfRule type="cellIs" dxfId="43" priority="53" operator="equal">
      <formula>"#NA"</formula>
    </cfRule>
  </conditionalFormatting>
  <conditionalFormatting sqref="C62">
    <cfRule type="cellIs" dxfId="42" priority="35" operator="equal">
      <formula>"#NA"</formula>
    </cfRule>
  </conditionalFormatting>
  <conditionalFormatting sqref="D13">
    <cfRule type="cellIs" dxfId="41" priority="52" operator="equal">
      <formula>"#NA"</formula>
    </cfRule>
  </conditionalFormatting>
  <conditionalFormatting sqref="C63:C68">
    <cfRule type="cellIs" dxfId="40" priority="36" operator="equal">
      <formula>"#NA"</formula>
    </cfRule>
  </conditionalFormatting>
  <conditionalFormatting sqref="C71:C76">
    <cfRule type="cellIs" dxfId="39" priority="34" operator="equal">
      <formula>"#NA"</formula>
    </cfRule>
  </conditionalFormatting>
  <conditionalFormatting sqref="C69:C70">
    <cfRule type="cellIs" dxfId="38" priority="33" operator="equal">
      <formula>"#NA"</formula>
    </cfRule>
  </conditionalFormatting>
  <conditionalFormatting sqref="C77:C80">
    <cfRule type="cellIs" dxfId="37" priority="32" operator="equal">
      <formula>"#NA"</formula>
    </cfRule>
  </conditionalFormatting>
  <conditionalFormatting sqref="C81:C84">
    <cfRule type="cellIs" dxfId="36" priority="31" operator="equal">
      <formula>"#NA"</formula>
    </cfRule>
  </conditionalFormatting>
  <conditionalFormatting sqref="AX6:AY6">
    <cfRule type="cellIs" dxfId="35" priority="15" operator="equal">
      <formula>"#NA"</formula>
    </cfRule>
  </conditionalFormatting>
  <conditionalFormatting sqref="AZ6:BD6">
    <cfRule type="cellIs" dxfId="34" priority="14" operator="equal">
      <formula>"#NA"</formula>
    </cfRule>
  </conditionalFormatting>
  <conditionalFormatting sqref="BF6:BG6">
    <cfRule type="cellIs" dxfId="33" priority="11" operator="equal">
      <formula>"#NA"</formula>
    </cfRule>
  </conditionalFormatting>
  <conditionalFormatting sqref="AJ9:BG9">
    <cfRule type="cellIs" dxfId="32" priority="27" operator="equal">
      <formula>"#NA"</formula>
    </cfRule>
  </conditionalFormatting>
  <conditionalFormatting sqref="N6:P6">
    <cfRule type="cellIs" dxfId="31" priority="26" operator="equal">
      <formula>"#NA"</formula>
    </cfRule>
  </conditionalFormatting>
  <conditionalFormatting sqref="Q6:S6">
    <cfRule type="cellIs" dxfId="30" priority="25" operator="equal">
      <formula>"#NA"</formula>
    </cfRule>
  </conditionalFormatting>
  <conditionalFormatting sqref="T6:X6">
    <cfRule type="cellIs" dxfId="29" priority="24" operator="equal">
      <formula>"#NA"</formula>
    </cfRule>
  </conditionalFormatting>
  <conditionalFormatting sqref="Y6:AA6">
    <cfRule type="cellIs" dxfId="28" priority="23" operator="equal">
      <formula>"#NA"</formula>
    </cfRule>
  </conditionalFormatting>
  <conditionalFormatting sqref="AB6:AF6">
    <cfRule type="cellIs" dxfId="27" priority="22" operator="equal">
      <formula>"#NA"</formula>
    </cfRule>
  </conditionalFormatting>
  <conditionalFormatting sqref="AG6:AI6">
    <cfRule type="cellIs" dxfId="26" priority="21" operator="equal">
      <formula>"#NA"</formula>
    </cfRule>
  </conditionalFormatting>
  <conditionalFormatting sqref="AJ6:AN6">
    <cfRule type="cellIs" dxfId="25" priority="20" operator="equal">
      <formula>"#NA"</formula>
    </cfRule>
  </conditionalFormatting>
  <conditionalFormatting sqref="AO6:AQ6">
    <cfRule type="cellIs" dxfId="24" priority="19" operator="equal">
      <formula>"#NA"</formula>
    </cfRule>
  </conditionalFormatting>
  <conditionalFormatting sqref="AR6:AV6">
    <cfRule type="cellIs" dxfId="23" priority="18" operator="equal">
      <formula>"#NA"</formula>
    </cfRule>
  </conditionalFormatting>
  <conditionalFormatting sqref="AW6">
    <cfRule type="cellIs" dxfId="22" priority="16" operator="equal">
      <formula>"#NA"</formula>
    </cfRule>
    <cfRule type="cellIs" dxfId="21" priority="17" operator="equal">
      <formula>"#NA"</formula>
    </cfRule>
  </conditionalFormatting>
  <conditionalFormatting sqref="BE6">
    <cfRule type="cellIs" dxfId="20" priority="12" operator="equal">
      <formula>"#NA"</formula>
    </cfRule>
    <cfRule type="cellIs" dxfId="19" priority="13" operator="equal">
      <formula>"#NA"</formula>
    </cfRule>
  </conditionalFormatting>
  <conditionalFormatting sqref="N9:S9">
    <cfRule type="cellIs" dxfId="18" priority="10" operator="equal">
      <formula>"#NA"</formula>
    </cfRule>
  </conditionalFormatting>
  <conditionalFormatting sqref="T9:U9">
    <cfRule type="cellIs" dxfId="17" priority="7" operator="equal">
      <formula>"#NA"</formula>
    </cfRule>
  </conditionalFormatting>
  <conditionalFormatting sqref="V9:AA9">
    <cfRule type="cellIs" dxfId="16" priority="8" operator="equal">
      <formula>"#NA"</formula>
    </cfRule>
  </conditionalFormatting>
  <conditionalFormatting sqref="AB9:AE9">
    <cfRule type="cellIs" dxfId="15" priority="6" operator="equal">
      <formula>"#NA"</formula>
    </cfRule>
  </conditionalFormatting>
  <conditionalFormatting sqref="AF9:AI9">
    <cfRule type="cellIs" dxfId="14" priority="5" operator="equal">
      <formula>"#NA"</formula>
    </cfRule>
  </conditionalFormatting>
  <conditionalFormatting sqref="L4:L11">
    <cfRule type="cellIs" dxfId="13" priority="3" operator="equal">
      <formula>"#NA"</formula>
    </cfRule>
  </conditionalFormatting>
  <conditionalFormatting sqref="B4:L11">
    <cfRule type="cellIs" dxfId="12" priority="4" operator="equal">
      <formula>"#NA"</formula>
    </cfRule>
  </conditionalFormatting>
  <pageMargins left="0.7" right="0.7" top="0.75" bottom="0.75" header="0.3" footer="0.3"/>
  <pageSetup paperSize="9" scale="8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M12"/>
  <sheetViews>
    <sheetView zoomScaleNormal="100" workbookViewId="0">
      <selection activeCell="F36" sqref="F36"/>
    </sheetView>
  </sheetViews>
  <sheetFormatPr defaultRowHeight="15" x14ac:dyDescent="0.25"/>
  <sheetData>
    <row r="1" spans="1:13" x14ac:dyDescent="0.25">
      <c r="A1" t="s">
        <v>619</v>
      </c>
    </row>
    <row r="3" spans="1:13" ht="15.75" thickBot="1" x14ac:dyDescent="0.3">
      <c r="A3" s="96"/>
      <c r="B3" s="98">
        <v>1</v>
      </c>
      <c r="C3" s="99">
        <v>2</v>
      </c>
      <c r="D3" s="98">
        <v>3</v>
      </c>
      <c r="E3" s="99">
        <v>4</v>
      </c>
      <c r="F3" s="98">
        <v>5</v>
      </c>
      <c r="G3" s="99">
        <v>6</v>
      </c>
      <c r="H3" s="98">
        <v>7</v>
      </c>
      <c r="I3" s="99">
        <v>8</v>
      </c>
      <c r="J3" s="98">
        <v>9</v>
      </c>
      <c r="K3" s="99">
        <v>10</v>
      </c>
      <c r="L3" s="98">
        <v>11</v>
      </c>
      <c r="M3" s="99">
        <v>12</v>
      </c>
    </row>
    <row r="4" spans="1:13" ht="16.5" thickTop="1" thickBot="1" x14ac:dyDescent="0.3">
      <c r="A4" s="97" t="s">
        <v>0</v>
      </c>
      <c r="B4" s="58" t="s">
        <v>162</v>
      </c>
      <c r="C4" s="58" t="s">
        <v>170</v>
      </c>
      <c r="D4" s="59" t="s">
        <v>178</v>
      </c>
      <c r="E4" s="59" t="s">
        <v>186</v>
      </c>
      <c r="F4" s="59" t="s">
        <v>194</v>
      </c>
      <c r="G4" s="59" t="s">
        <v>202</v>
      </c>
      <c r="H4" s="59" t="s">
        <v>210</v>
      </c>
      <c r="I4" s="59" t="s">
        <v>218</v>
      </c>
      <c r="J4" s="69" t="s">
        <v>226</v>
      </c>
      <c r="K4" s="69" t="s">
        <v>233</v>
      </c>
      <c r="L4" s="69" t="s">
        <v>240</v>
      </c>
      <c r="M4" s="69" t="s">
        <v>247</v>
      </c>
    </row>
    <row r="5" spans="1:13" ht="16.5" thickTop="1" thickBot="1" x14ac:dyDescent="0.3">
      <c r="A5" s="97" t="s">
        <v>1</v>
      </c>
      <c r="B5" s="58" t="s">
        <v>163</v>
      </c>
      <c r="C5" s="58" t="s">
        <v>171</v>
      </c>
      <c r="D5" s="58" t="s">
        <v>179</v>
      </c>
      <c r="E5" s="59" t="s">
        <v>187</v>
      </c>
      <c r="F5" s="59" t="s">
        <v>195</v>
      </c>
      <c r="G5" s="59" t="s">
        <v>203</v>
      </c>
      <c r="H5" s="59" t="s">
        <v>211</v>
      </c>
      <c r="I5" s="59" t="s">
        <v>219</v>
      </c>
      <c r="J5" s="69" t="s">
        <v>227</v>
      </c>
      <c r="K5" s="69" t="s">
        <v>234</v>
      </c>
      <c r="L5" s="69" t="s">
        <v>241</v>
      </c>
      <c r="M5" s="69" t="s">
        <v>248</v>
      </c>
    </row>
    <row r="6" spans="1:13" ht="16.5" thickTop="1" thickBot="1" x14ac:dyDescent="0.3">
      <c r="A6" s="97" t="s">
        <v>2</v>
      </c>
      <c r="B6" s="58" t="s">
        <v>164</v>
      </c>
      <c r="C6" s="58" t="s">
        <v>172</v>
      </c>
      <c r="D6" s="58" t="s">
        <v>180</v>
      </c>
      <c r="E6" s="59" t="s">
        <v>188</v>
      </c>
      <c r="F6" s="59" t="s">
        <v>196</v>
      </c>
      <c r="G6" s="59" t="s">
        <v>204</v>
      </c>
      <c r="H6" s="59" t="s">
        <v>212</v>
      </c>
      <c r="I6" s="59" t="s">
        <v>220</v>
      </c>
      <c r="J6" s="69" t="s">
        <v>228</v>
      </c>
      <c r="K6" s="69" t="s">
        <v>235</v>
      </c>
      <c r="L6" s="69" t="s">
        <v>242</v>
      </c>
      <c r="M6" s="69" t="s">
        <v>249</v>
      </c>
    </row>
    <row r="7" spans="1:13" ht="16.5" thickTop="1" thickBot="1" x14ac:dyDescent="0.3">
      <c r="A7" s="97" t="s">
        <v>3</v>
      </c>
      <c r="B7" s="58" t="s">
        <v>165</v>
      </c>
      <c r="C7" s="58" t="s">
        <v>173</v>
      </c>
      <c r="D7" s="58" t="s">
        <v>181</v>
      </c>
      <c r="E7" s="59" t="s">
        <v>189</v>
      </c>
      <c r="F7" s="59" t="s">
        <v>197</v>
      </c>
      <c r="G7" s="59" t="s">
        <v>205</v>
      </c>
      <c r="H7" s="59" t="s">
        <v>213</v>
      </c>
      <c r="I7" s="59" t="s">
        <v>221</v>
      </c>
      <c r="J7" s="69" t="s">
        <v>229</v>
      </c>
      <c r="K7" s="69" t="s">
        <v>236</v>
      </c>
      <c r="L7" s="69" t="s">
        <v>243</v>
      </c>
      <c r="M7" s="69" t="s">
        <v>250</v>
      </c>
    </row>
    <row r="8" spans="1:13" ht="27" thickTop="1" thickBot="1" x14ac:dyDescent="0.3">
      <c r="A8" s="97" t="s">
        <v>4</v>
      </c>
      <c r="B8" s="58" t="s">
        <v>166</v>
      </c>
      <c r="C8" s="58" t="s">
        <v>174</v>
      </c>
      <c r="D8" s="58" t="s">
        <v>182</v>
      </c>
      <c r="E8" s="59" t="s">
        <v>190</v>
      </c>
      <c r="F8" s="59" t="s">
        <v>198</v>
      </c>
      <c r="G8" s="59" t="s">
        <v>206</v>
      </c>
      <c r="H8" s="59" t="s">
        <v>214</v>
      </c>
      <c r="I8" s="59" t="s">
        <v>222</v>
      </c>
      <c r="J8" s="69" t="s">
        <v>230</v>
      </c>
      <c r="K8" s="69" t="s">
        <v>237</v>
      </c>
      <c r="L8" s="69" t="s">
        <v>244</v>
      </c>
      <c r="M8" s="70" t="s">
        <v>631</v>
      </c>
    </row>
    <row r="9" spans="1:13" ht="27" thickTop="1" thickBot="1" x14ac:dyDescent="0.3">
      <c r="A9" s="97" t="s">
        <v>5</v>
      </c>
      <c r="B9" s="58" t="s">
        <v>167</v>
      </c>
      <c r="C9" s="58" t="s">
        <v>175</v>
      </c>
      <c r="D9" s="58" t="s">
        <v>183</v>
      </c>
      <c r="E9" s="59" t="s">
        <v>191</v>
      </c>
      <c r="F9" s="59" t="s">
        <v>199</v>
      </c>
      <c r="G9" s="59" t="s">
        <v>207</v>
      </c>
      <c r="H9" s="59" t="s">
        <v>215</v>
      </c>
      <c r="I9" s="59" t="s">
        <v>223</v>
      </c>
      <c r="J9" s="69" t="s">
        <v>231</v>
      </c>
      <c r="K9" s="69" t="s">
        <v>238</v>
      </c>
      <c r="L9" s="70" t="s">
        <v>630</v>
      </c>
      <c r="M9" s="69" t="s">
        <v>251</v>
      </c>
    </row>
    <row r="10" spans="1:13" ht="27" thickTop="1" thickBot="1" x14ac:dyDescent="0.3">
      <c r="A10" s="97" t="s">
        <v>6</v>
      </c>
      <c r="B10" s="58" t="s">
        <v>168</v>
      </c>
      <c r="C10" s="58" t="s">
        <v>176</v>
      </c>
      <c r="D10" s="58" t="s">
        <v>184</v>
      </c>
      <c r="E10" s="59" t="s">
        <v>192</v>
      </c>
      <c r="F10" s="59" t="s">
        <v>200</v>
      </c>
      <c r="G10" s="59" t="s">
        <v>208</v>
      </c>
      <c r="H10" s="59" t="s">
        <v>216</v>
      </c>
      <c r="I10" s="59" t="s">
        <v>224</v>
      </c>
      <c r="J10" s="69" t="s">
        <v>232</v>
      </c>
      <c r="K10" s="70" t="s">
        <v>629</v>
      </c>
      <c r="L10" s="69" t="s">
        <v>245</v>
      </c>
      <c r="M10" s="69" t="s">
        <v>252</v>
      </c>
    </row>
    <row r="11" spans="1:13" ht="27" thickTop="1" thickBot="1" x14ac:dyDescent="0.3">
      <c r="A11" s="97" t="s">
        <v>7</v>
      </c>
      <c r="B11" s="58" t="s">
        <v>169</v>
      </c>
      <c r="C11" s="58" t="s">
        <v>177</v>
      </c>
      <c r="D11" s="58" t="s">
        <v>185</v>
      </c>
      <c r="E11" s="59" t="s">
        <v>193</v>
      </c>
      <c r="F11" s="59" t="s">
        <v>201</v>
      </c>
      <c r="G11" s="59" t="s">
        <v>209</v>
      </c>
      <c r="H11" s="59" t="s">
        <v>217</v>
      </c>
      <c r="I11" s="59" t="s">
        <v>225</v>
      </c>
      <c r="J11" s="70" t="s">
        <v>628</v>
      </c>
      <c r="K11" s="69" t="s">
        <v>239</v>
      </c>
      <c r="L11" s="69" t="s">
        <v>246</v>
      </c>
      <c r="M11" s="69" t="s">
        <v>472</v>
      </c>
    </row>
    <row r="12" spans="1:13" ht="15.75" thickTop="1" x14ac:dyDescent="0.25"/>
  </sheetData>
  <conditionalFormatting sqref="L4:L11">
    <cfRule type="cellIs" dxfId="11" priority="3" operator="equal">
      <formula>"#NA"</formula>
    </cfRule>
  </conditionalFormatting>
  <conditionalFormatting sqref="B4:L11">
    <cfRule type="cellIs" dxfId="10" priority="4" operator="equal">
      <formula>"#NA"</formula>
    </cfRule>
  </conditionalFormatting>
  <pageMargins left="0.7" right="0.7" top="0.75" bottom="0.75" header="0.3" footer="0.3"/>
  <pageSetup paperSize="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2:M12"/>
  <sheetViews>
    <sheetView workbookViewId="0">
      <selection activeCell="M8" sqref="M8"/>
    </sheetView>
  </sheetViews>
  <sheetFormatPr defaultColWidth="9.140625" defaultRowHeight="15" x14ac:dyDescent="0.25"/>
  <cols>
    <col min="1" max="16384" width="9.140625" style="51"/>
  </cols>
  <sheetData>
    <row r="2" spans="1:13" x14ac:dyDescent="0.25">
      <c r="A2" s="51" t="s">
        <v>620</v>
      </c>
    </row>
    <row r="3" spans="1:13" ht="15.75" thickBot="1" x14ac:dyDescent="0.3">
      <c r="A3" s="96"/>
      <c r="B3" s="98">
        <v>1</v>
      </c>
      <c r="C3" s="99">
        <v>2</v>
      </c>
      <c r="D3" s="98">
        <v>3</v>
      </c>
      <c r="E3" s="99">
        <v>4</v>
      </c>
      <c r="F3" s="98">
        <v>5</v>
      </c>
      <c r="G3" s="99">
        <v>6</v>
      </c>
      <c r="H3" s="98">
        <v>7</v>
      </c>
      <c r="I3" s="99">
        <v>8</v>
      </c>
      <c r="J3" s="98">
        <v>9</v>
      </c>
      <c r="K3" s="99">
        <v>10</v>
      </c>
      <c r="L3" s="98">
        <v>11</v>
      </c>
      <c r="M3" s="99">
        <v>12</v>
      </c>
    </row>
    <row r="4" spans="1:13" ht="16.5" thickTop="1" thickBot="1" x14ac:dyDescent="0.3">
      <c r="A4" s="97" t="s">
        <v>0</v>
      </c>
      <c r="B4" s="58" t="s">
        <v>253</v>
      </c>
      <c r="C4" s="58" t="s">
        <v>261</v>
      </c>
      <c r="D4" s="59" t="s">
        <v>269</v>
      </c>
      <c r="E4" s="59" t="s">
        <v>277</v>
      </c>
      <c r="F4" s="59" t="s">
        <v>285</v>
      </c>
      <c r="G4" s="59" t="s">
        <v>293</v>
      </c>
      <c r="H4" s="59" t="s">
        <v>300</v>
      </c>
      <c r="I4" s="59" t="s">
        <v>308</v>
      </c>
      <c r="J4" s="69" t="s">
        <v>316</v>
      </c>
      <c r="K4" s="69" t="s">
        <v>323</v>
      </c>
      <c r="L4" s="69" t="s">
        <v>330</v>
      </c>
      <c r="M4" s="69" t="s">
        <v>337</v>
      </c>
    </row>
    <row r="5" spans="1:13" ht="16.5" thickTop="1" thickBot="1" x14ac:dyDescent="0.3">
      <c r="A5" s="97" t="s">
        <v>1</v>
      </c>
      <c r="B5" s="58" t="s">
        <v>254</v>
      </c>
      <c r="C5" s="58" t="s">
        <v>262</v>
      </c>
      <c r="D5" s="58" t="s">
        <v>270</v>
      </c>
      <c r="E5" s="59" t="s">
        <v>278</v>
      </c>
      <c r="F5" s="59" t="s">
        <v>286</v>
      </c>
      <c r="G5" s="59" t="s">
        <v>294</v>
      </c>
      <c r="H5" s="59" t="s">
        <v>301</v>
      </c>
      <c r="I5" s="59" t="s">
        <v>309</v>
      </c>
      <c r="J5" s="69" t="s">
        <v>317</v>
      </c>
      <c r="K5" s="69" t="s">
        <v>324</v>
      </c>
      <c r="L5" s="69" t="s">
        <v>331</v>
      </c>
      <c r="M5" s="69" t="s">
        <v>338</v>
      </c>
    </row>
    <row r="6" spans="1:13" ht="16.5" thickTop="1" thickBot="1" x14ac:dyDescent="0.3">
      <c r="A6" s="97" t="s">
        <v>2</v>
      </c>
      <c r="B6" s="58" t="s">
        <v>255</v>
      </c>
      <c r="C6" s="58" t="s">
        <v>263</v>
      </c>
      <c r="D6" s="58" t="s">
        <v>271</v>
      </c>
      <c r="E6" s="59" t="s">
        <v>279</v>
      </c>
      <c r="F6" s="59" t="s">
        <v>287</v>
      </c>
      <c r="G6" s="59" t="s">
        <v>295</v>
      </c>
      <c r="H6" s="59" t="s">
        <v>302</v>
      </c>
      <c r="I6" s="59" t="s">
        <v>310</v>
      </c>
      <c r="J6" s="69" t="s">
        <v>318</v>
      </c>
      <c r="K6" s="69" t="s">
        <v>325</v>
      </c>
      <c r="L6" s="69" t="s">
        <v>332</v>
      </c>
      <c r="M6" s="69" t="s">
        <v>339</v>
      </c>
    </row>
    <row r="7" spans="1:13" ht="16.5" thickTop="1" thickBot="1" x14ac:dyDescent="0.3">
      <c r="A7" s="97" t="s">
        <v>3</v>
      </c>
      <c r="B7" s="58" t="s">
        <v>256</v>
      </c>
      <c r="C7" s="58" t="s">
        <v>264</v>
      </c>
      <c r="D7" s="58" t="s">
        <v>272</v>
      </c>
      <c r="E7" s="59" t="s">
        <v>280</v>
      </c>
      <c r="F7" s="59" t="s">
        <v>288</v>
      </c>
      <c r="G7" s="59" t="s">
        <v>296</v>
      </c>
      <c r="H7" s="59" t="s">
        <v>303</v>
      </c>
      <c r="I7" s="59" t="s">
        <v>311</v>
      </c>
      <c r="J7" s="69" t="s">
        <v>319</v>
      </c>
      <c r="K7" s="69" t="s">
        <v>326</v>
      </c>
      <c r="L7" s="69" t="s">
        <v>333</v>
      </c>
      <c r="M7" s="69" t="s">
        <v>340</v>
      </c>
    </row>
    <row r="8" spans="1:13" ht="27" thickTop="1" thickBot="1" x14ac:dyDescent="0.3">
      <c r="A8" s="97" t="s">
        <v>4</v>
      </c>
      <c r="B8" s="58" t="s">
        <v>257</v>
      </c>
      <c r="C8" s="58" t="s">
        <v>265</v>
      </c>
      <c r="D8" s="58" t="s">
        <v>273</v>
      </c>
      <c r="E8" s="59" t="s">
        <v>281</v>
      </c>
      <c r="F8" s="59" t="s">
        <v>289</v>
      </c>
      <c r="G8" s="59" t="s">
        <v>297</v>
      </c>
      <c r="H8" s="59" t="s">
        <v>304</v>
      </c>
      <c r="I8" s="59" t="s">
        <v>312</v>
      </c>
      <c r="J8" s="69" t="s">
        <v>320</v>
      </c>
      <c r="K8" s="69" t="s">
        <v>327</v>
      </c>
      <c r="L8" s="69" t="s">
        <v>334</v>
      </c>
      <c r="M8" s="70" t="s">
        <v>635</v>
      </c>
    </row>
    <row r="9" spans="1:13" ht="27" thickTop="1" thickBot="1" x14ac:dyDescent="0.3">
      <c r="A9" s="97" t="s">
        <v>5</v>
      </c>
      <c r="B9" s="58" t="s">
        <v>258</v>
      </c>
      <c r="C9" s="58" t="s">
        <v>266</v>
      </c>
      <c r="D9" s="58" t="s">
        <v>274</v>
      </c>
      <c r="E9" s="59" t="s">
        <v>282</v>
      </c>
      <c r="F9" s="59" t="s">
        <v>290</v>
      </c>
      <c r="G9" s="59" t="s">
        <v>298</v>
      </c>
      <c r="H9" s="59" t="s">
        <v>305</v>
      </c>
      <c r="I9" s="59" t="s">
        <v>313</v>
      </c>
      <c r="J9" s="69" t="s">
        <v>321</v>
      </c>
      <c r="K9" s="69" t="s">
        <v>328</v>
      </c>
      <c r="L9" s="70" t="s">
        <v>634</v>
      </c>
      <c r="M9" s="69" t="s">
        <v>341</v>
      </c>
    </row>
    <row r="10" spans="1:13" ht="27" thickTop="1" thickBot="1" x14ac:dyDescent="0.3">
      <c r="A10" s="97" t="s">
        <v>6</v>
      </c>
      <c r="B10" s="58" t="s">
        <v>259</v>
      </c>
      <c r="C10" s="58" t="s">
        <v>267</v>
      </c>
      <c r="D10" s="58" t="s">
        <v>275</v>
      </c>
      <c r="E10" s="59" t="s">
        <v>283</v>
      </c>
      <c r="F10" s="59" t="s">
        <v>291</v>
      </c>
      <c r="G10" s="59" t="s">
        <v>299</v>
      </c>
      <c r="H10" s="59" t="s">
        <v>306</v>
      </c>
      <c r="I10" s="59" t="s">
        <v>314</v>
      </c>
      <c r="J10" s="69" t="s">
        <v>322</v>
      </c>
      <c r="K10" s="70" t="s">
        <v>633</v>
      </c>
      <c r="L10" s="69" t="s">
        <v>335</v>
      </c>
      <c r="M10" s="69" t="s">
        <v>342</v>
      </c>
    </row>
    <row r="11" spans="1:13" ht="27" thickTop="1" thickBot="1" x14ac:dyDescent="0.3">
      <c r="A11" s="97" t="s">
        <v>7</v>
      </c>
      <c r="B11" s="89" t="s">
        <v>260</v>
      </c>
      <c r="C11" s="58" t="s">
        <v>268</v>
      </c>
      <c r="D11" s="58" t="s">
        <v>276</v>
      </c>
      <c r="E11" s="59" t="s">
        <v>284</v>
      </c>
      <c r="F11" s="59" t="s">
        <v>292</v>
      </c>
      <c r="G11" s="59" t="s">
        <v>134</v>
      </c>
      <c r="H11" s="59" t="s">
        <v>307</v>
      </c>
      <c r="I11" s="59" t="s">
        <v>315</v>
      </c>
      <c r="J11" s="70" t="s">
        <v>632</v>
      </c>
      <c r="K11" s="69" t="s">
        <v>329</v>
      </c>
      <c r="L11" s="69" t="s">
        <v>336</v>
      </c>
      <c r="M11" s="69" t="s">
        <v>343</v>
      </c>
    </row>
    <row r="12" spans="1:13" ht="15.75" thickTop="1" x14ac:dyDescent="0.25">
      <c r="G12" s="90"/>
    </row>
  </sheetData>
  <conditionalFormatting sqref="L4:L11">
    <cfRule type="cellIs" dxfId="9" priority="3" operator="equal">
      <formula>"#NA"</formula>
    </cfRule>
  </conditionalFormatting>
  <conditionalFormatting sqref="B4:L11 G12">
    <cfRule type="cellIs" dxfId="8" priority="4" operator="equal">
      <formula>"#NA"</formula>
    </cfRule>
  </conditionalFormatting>
  <pageMargins left="0.7" right="0.7" top="0.75" bottom="0.75" header="0.3" footer="0.3"/>
  <pageSetup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2:M108"/>
  <sheetViews>
    <sheetView workbookViewId="0">
      <selection activeCell="B108" sqref="B13:B108"/>
    </sheetView>
  </sheetViews>
  <sheetFormatPr defaultRowHeight="15" x14ac:dyDescent="0.25"/>
  <sheetData>
    <row r="2" spans="1:13" x14ac:dyDescent="0.25">
      <c r="A2" s="101" t="s">
        <v>621</v>
      </c>
    </row>
    <row r="3" spans="1:13" ht="15.75" thickBot="1" x14ac:dyDescent="0.3">
      <c r="A3" s="96"/>
      <c r="B3" s="98">
        <v>1</v>
      </c>
      <c r="C3" s="99">
        <v>2</v>
      </c>
      <c r="D3" s="98">
        <v>3</v>
      </c>
      <c r="E3" s="99">
        <v>4</v>
      </c>
      <c r="F3" s="98">
        <v>5</v>
      </c>
      <c r="G3" s="99">
        <v>6</v>
      </c>
      <c r="H3" s="98">
        <v>7</v>
      </c>
      <c r="I3" s="99">
        <v>8</v>
      </c>
      <c r="J3" s="98">
        <v>9</v>
      </c>
      <c r="K3" s="99">
        <v>10</v>
      </c>
      <c r="L3" s="98">
        <v>11</v>
      </c>
      <c r="M3" s="99">
        <v>12</v>
      </c>
    </row>
    <row r="4" spans="1:13" ht="16.5" thickTop="1" thickBot="1" x14ac:dyDescent="0.3">
      <c r="A4" s="97" t="s">
        <v>0</v>
      </c>
      <c r="B4" s="58" t="s">
        <v>344</v>
      </c>
      <c r="C4" s="58" t="s">
        <v>352</v>
      </c>
      <c r="D4" s="59" t="s">
        <v>360</v>
      </c>
      <c r="E4" s="59" t="s">
        <v>368</v>
      </c>
      <c r="F4" s="59" t="s">
        <v>376</v>
      </c>
      <c r="G4" s="59" t="s">
        <v>384</v>
      </c>
      <c r="H4" s="59" t="s">
        <v>392</v>
      </c>
      <c r="I4" s="59" t="s">
        <v>400</v>
      </c>
      <c r="J4" s="69" t="s">
        <v>408</v>
      </c>
      <c r="K4" s="69" t="s">
        <v>415</v>
      </c>
      <c r="L4" s="69" t="s">
        <v>422</v>
      </c>
      <c r="M4" s="69" t="s">
        <v>429</v>
      </c>
    </row>
    <row r="5" spans="1:13" ht="16.5" thickTop="1" thickBot="1" x14ac:dyDescent="0.3">
      <c r="A5" s="97" t="s">
        <v>1</v>
      </c>
      <c r="B5" s="58" t="s">
        <v>345</v>
      </c>
      <c r="C5" s="58" t="s">
        <v>353</v>
      </c>
      <c r="D5" s="58" t="s">
        <v>361</v>
      </c>
      <c r="E5" s="59" t="s">
        <v>369</v>
      </c>
      <c r="F5" s="59" t="s">
        <v>377</v>
      </c>
      <c r="G5" s="59" t="s">
        <v>385</v>
      </c>
      <c r="H5" s="59" t="s">
        <v>393</v>
      </c>
      <c r="I5" s="59" t="s">
        <v>401</v>
      </c>
      <c r="J5" s="69" t="s">
        <v>409</v>
      </c>
      <c r="K5" s="69" t="s">
        <v>416</v>
      </c>
      <c r="L5" s="69" t="s">
        <v>423</v>
      </c>
      <c r="M5" s="69" t="s">
        <v>430</v>
      </c>
    </row>
    <row r="6" spans="1:13" ht="16.5" thickTop="1" thickBot="1" x14ac:dyDescent="0.3">
      <c r="A6" s="97" t="s">
        <v>2</v>
      </c>
      <c r="B6" s="58" t="s">
        <v>346</v>
      </c>
      <c r="C6" s="58" t="s">
        <v>354</v>
      </c>
      <c r="D6" s="58" t="s">
        <v>362</v>
      </c>
      <c r="E6" s="59" t="s">
        <v>370</v>
      </c>
      <c r="F6" s="59" t="s">
        <v>378</v>
      </c>
      <c r="G6" s="59" t="s">
        <v>386</v>
      </c>
      <c r="H6" s="59" t="s">
        <v>394</v>
      </c>
      <c r="I6" s="59" t="s">
        <v>402</v>
      </c>
      <c r="J6" s="69" t="s">
        <v>410</v>
      </c>
      <c r="K6" s="69" t="s">
        <v>417</v>
      </c>
      <c r="L6" s="69" t="s">
        <v>424</v>
      </c>
      <c r="M6" s="69" t="s">
        <v>431</v>
      </c>
    </row>
    <row r="7" spans="1:13" ht="16.5" thickTop="1" thickBot="1" x14ac:dyDescent="0.3">
      <c r="A7" s="97" t="s">
        <v>3</v>
      </c>
      <c r="B7" s="58" t="s">
        <v>347</v>
      </c>
      <c r="C7" s="58" t="s">
        <v>355</v>
      </c>
      <c r="D7" s="58" t="s">
        <v>363</v>
      </c>
      <c r="E7" s="59" t="s">
        <v>371</v>
      </c>
      <c r="F7" s="59" t="s">
        <v>379</v>
      </c>
      <c r="G7" s="59" t="s">
        <v>387</v>
      </c>
      <c r="H7" s="59" t="s">
        <v>399</v>
      </c>
      <c r="I7" s="59" t="s">
        <v>404</v>
      </c>
      <c r="J7" s="69" t="s">
        <v>411</v>
      </c>
      <c r="K7" s="69" t="s">
        <v>418</v>
      </c>
      <c r="L7" s="69" t="s">
        <v>425</v>
      </c>
      <c r="M7" s="69" t="s">
        <v>432</v>
      </c>
    </row>
    <row r="8" spans="1:13" ht="27" thickTop="1" thickBot="1" x14ac:dyDescent="0.3">
      <c r="A8" s="97" t="s">
        <v>4</v>
      </c>
      <c r="B8" s="58" t="s">
        <v>348</v>
      </c>
      <c r="C8" s="58" t="s">
        <v>356</v>
      </c>
      <c r="D8" s="58" t="s">
        <v>364</v>
      </c>
      <c r="E8" s="59" t="s">
        <v>372</v>
      </c>
      <c r="F8" s="59" t="s">
        <v>380</v>
      </c>
      <c r="G8" s="59" t="s">
        <v>388</v>
      </c>
      <c r="H8" s="59" t="s">
        <v>395</v>
      </c>
      <c r="I8" s="59" t="s">
        <v>405</v>
      </c>
      <c r="J8" s="69" t="s">
        <v>412</v>
      </c>
      <c r="K8" s="69" t="s">
        <v>419</v>
      </c>
      <c r="L8" s="69" t="s">
        <v>426</v>
      </c>
      <c r="M8" s="70" t="s">
        <v>637</v>
      </c>
    </row>
    <row r="9" spans="1:13" ht="27" thickTop="1" thickBot="1" x14ac:dyDescent="0.3">
      <c r="A9" s="97" t="s">
        <v>5</v>
      </c>
      <c r="B9" s="58" t="s">
        <v>349</v>
      </c>
      <c r="C9" s="58" t="s">
        <v>357</v>
      </c>
      <c r="D9" s="58" t="s">
        <v>365</v>
      </c>
      <c r="E9" s="59" t="s">
        <v>373</v>
      </c>
      <c r="F9" s="59" t="s">
        <v>381</v>
      </c>
      <c r="G9" s="59" t="s">
        <v>389</v>
      </c>
      <c r="H9" s="59" t="s">
        <v>396</v>
      </c>
      <c r="I9" s="59" t="s">
        <v>403</v>
      </c>
      <c r="J9" s="69" t="s">
        <v>413</v>
      </c>
      <c r="K9" s="69" t="s">
        <v>420</v>
      </c>
      <c r="L9" s="70" t="s">
        <v>638</v>
      </c>
      <c r="M9" s="69" t="s">
        <v>433</v>
      </c>
    </row>
    <row r="10" spans="1:13" ht="27" thickTop="1" thickBot="1" x14ac:dyDescent="0.3">
      <c r="A10" s="97" t="s">
        <v>6</v>
      </c>
      <c r="B10" s="58" t="s">
        <v>350</v>
      </c>
      <c r="C10" s="58" t="s">
        <v>358</v>
      </c>
      <c r="D10" s="58" t="s">
        <v>366</v>
      </c>
      <c r="E10" s="59" t="s">
        <v>374</v>
      </c>
      <c r="F10" s="59" t="s">
        <v>382</v>
      </c>
      <c r="G10" s="59" t="s">
        <v>390</v>
      </c>
      <c r="H10" s="59" t="s">
        <v>397</v>
      </c>
      <c r="I10" s="59" t="s">
        <v>406</v>
      </c>
      <c r="J10" s="69" t="s">
        <v>414</v>
      </c>
      <c r="K10" s="70" t="s">
        <v>639</v>
      </c>
      <c r="L10" s="69" t="s">
        <v>427</v>
      </c>
      <c r="M10" s="69" t="s">
        <v>434</v>
      </c>
    </row>
    <row r="11" spans="1:13" ht="27" thickTop="1" thickBot="1" x14ac:dyDescent="0.3">
      <c r="A11" s="97" t="s">
        <v>7</v>
      </c>
      <c r="B11" s="58" t="s">
        <v>351</v>
      </c>
      <c r="C11" s="58" t="s">
        <v>359</v>
      </c>
      <c r="D11" s="58" t="s">
        <v>367</v>
      </c>
      <c r="E11" s="59" t="s">
        <v>375</v>
      </c>
      <c r="F11" s="59" t="s">
        <v>383</v>
      </c>
      <c r="G11" s="59" t="s">
        <v>391</v>
      </c>
      <c r="H11" s="59" t="s">
        <v>398</v>
      </c>
      <c r="I11" s="59" t="s">
        <v>407</v>
      </c>
      <c r="J11" s="70" t="s">
        <v>636</v>
      </c>
      <c r="K11" s="69" t="s">
        <v>421</v>
      </c>
      <c r="L11" s="69" t="s">
        <v>428</v>
      </c>
      <c r="M11" s="69" t="s">
        <v>435</v>
      </c>
    </row>
    <row r="12" spans="1:13" ht="15.75" thickTop="1" x14ac:dyDescent="0.25"/>
    <row r="13" spans="1:13" x14ac:dyDescent="0.25">
      <c r="B13" s="58" t="s">
        <v>344</v>
      </c>
    </row>
    <row r="14" spans="1:13" x14ac:dyDescent="0.25">
      <c r="B14" s="58" t="s">
        <v>345</v>
      </c>
    </row>
    <row r="15" spans="1:13" x14ac:dyDescent="0.25">
      <c r="B15" s="58" t="s">
        <v>346</v>
      </c>
    </row>
    <row r="16" spans="1:13" x14ac:dyDescent="0.25">
      <c r="B16" s="58" t="s">
        <v>347</v>
      </c>
    </row>
    <row r="17" spans="2:2" x14ac:dyDescent="0.25">
      <c r="B17" s="58" t="s">
        <v>348</v>
      </c>
    </row>
    <row r="18" spans="2:2" x14ac:dyDescent="0.25">
      <c r="B18" s="58" t="s">
        <v>349</v>
      </c>
    </row>
    <row r="19" spans="2:2" x14ac:dyDescent="0.25">
      <c r="B19" s="58" t="s">
        <v>350</v>
      </c>
    </row>
    <row r="20" spans="2:2" x14ac:dyDescent="0.25">
      <c r="B20" s="58" t="s">
        <v>351</v>
      </c>
    </row>
    <row r="21" spans="2:2" x14ac:dyDescent="0.25">
      <c r="B21" s="58" t="s">
        <v>352</v>
      </c>
    </row>
    <row r="22" spans="2:2" x14ac:dyDescent="0.25">
      <c r="B22" s="58" t="s">
        <v>353</v>
      </c>
    </row>
    <row r="23" spans="2:2" x14ac:dyDescent="0.25">
      <c r="B23" s="58" t="s">
        <v>354</v>
      </c>
    </row>
    <row r="24" spans="2:2" x14ac:dyDescent="0.25">
      <c r="B24" s="58" t="s">
        <v>355</v>
      </c>
    </row>
    <row r="25" spans="2:2" x14ac:dyDescent="0.25">
      <c r="B25" s="58" t="s">
        <v>356</v>
      </c>
    </row>
    <row r="26" spans="2:2" x14ac:dyDescent="0.25">
      <c r="B26" s="58" t="s">
        <v>357</v>
      </c>
    </row>
    <row r="27" spans="2:2" x14ac:dyDescent="0.25">
      <c r="B27" s="58" t="s">
        <v>358</v>
      </c>
    </row>
    <row r="28" spans="2:2" x14ac:dyDescent="0.25">
      <c r="B28" s="58" t="s">
        <v>359</v>
      </c>
    </row>
    <row r="29" spans="2:2" x14ac:dyDescent="0.25">
      <c r="B29" s="59" t="s">
        <v>360</v>
      </c>
    </row>
    <row r="30" spans="2:2" x14ac:dyDescent="0.25">
      <c r="B30" s="58" t="s">
        <v>361</v>
      </c>
    </row>
    <row r="31" spans="2:2" x14ac:dyDescent="0.25">
      <c r="B31" s="58" t="s">
        <v>362</v>
      </c>
    </row>
    <row r="32" spans="2:2" x14ac:dyDescent="0.25">
      <c r="B32" s="58" t="s">
        <v>363</v>
      </c>
    </row>
    <row r="33" spans="2:2" x14ac:dyDescent="0.25">
      <c r="B33" s="58" t="s">
        <v>364</v>
      </c>
    </row>
    <row r="34" spans="2:2" x14ac:dyDescent="0.25">
      <c r="B34" s="58" t="s">
        <v>365</v>
      </c>
    </row>
    <row r="35" spans="2:2" x14ac:dyDescent="0.25">
      <c r="B35" s="58" t="s">
        <v>366</v>
      </c>
    </row>
    <row r="36" spans="2:2" x14ac:dyDescent="0.25">
      <c r="B36" s="58" t="s">
        <v>367</v>
      </c>
    </row>
    <row r="37" spans="2:2" x14ac:dyDescent="0.25">
      <c r="B37" s="59" t="s">
        <v>368</v>
      </c>
    </row>
    <row r="38" spans="2:2" x14ac:dyDescent="0.25">
      <c r="B38" s="59" t="s">
        <v>369</v>
      </c>
    </row>
    <row r="39" spans="2:2" x14ac:dyDescent="0.25">
      <c r="B39" s="59" t="s">
        <v>370</v>
      </c>
    </row>
    <row r="40" spans="2:2" x14ac:dyDescent="0.25">
      <c r="B40" s="59" t="s">
        <v>371</v>
      </c>
    </row>
    <row r="41" spans="2:2" x14ac:dyDescent="0.25">
      <c r="B41" s="59" t="s">
        <v>372</v>
      </c>
    </row>
    <row r="42" spans="2:2" x14ac:dyDescent="0.25">
      <c r="B42" s="59" t="s">
        <v>373</v>
      </c>
    </row>
    <row r="43" spans="2:2" x14ac:dyDescent="0.25">
      <c r="B43" s="59" t="s">
        <v>374</v>
      </c>
    </row>
    <row r="44" spans="2:2" x14ac:dyDescent="0.25">
      <c r="B44" s="59" t="s">
        <v>375</v>
      </c>
    </row>
    <row r="45" spans="2:2" x14ac:dyDescent="0.25">
      <c r="B45" s="59" t="s">
        <v>376</v>
      </c>
    </row>
    <row r="46" spans="2:2" x14ac:dyDescent="0.25">
      <c r="B46" s="59" t="s">
        <v>377</v>
      </c>
    </row>
    <row r="47" spans="2:2" x14ac:dyDescent="0.25">
      <c r="B47" s="59" t="s">
        <v>378</v>
      </c>
    </row>
    <row r="48" spans="2:2" x14ac:dyDescent="0.25">
      <c r="B48" s="59" t="s">
        <v>379</v>
      </c>
    </row>
    <row r="49" spans="2:2" x14ac:dyDescent="0.25">
      <c r="B49" s="59" t="s">
        <v>380</v>
      </c>
    </row>
    <row r="50" spans="2:2" x14ac:dyDescent="0.25">
      <c r="B50" s="59" t="s">
        <v>381</v>
      </c>
    </row>
    <row r="51" spans="2:2" x14ac:dyDescent="0.25">
      <c r="B51" s="59" t="s">
        <v>382</v>
      </c>
    </row>
    <row r="52" spans="2:2" x14ac:dyDescent="0.25">
      <c r="B52" s="59" t="s">
        <v>383</v>
      </c>
    </row>
    <row r="53" spans="2:2" x14ac:dyDescent="0.25">
      <c r="B53" s="59" t="s">
        <v>384</v>
      </c>
    </row>
    <row r="54" spans="2:2" x14ac:dyDescent="0.25">
      <c r="B54" s="59" t="s">
        <v>385</v>
      </c>
    </row>
    <row r="55" spans="2:2" x14ac:dyDescent="0.25">
      <c r="B55" s="59" t="s">
        <v>386</v>
      </c>
    </row>
    <row r="56" spans="2:2" x14ac:dyDescent="0.25">
      <c r="B56" s="59" t="s">
        <v>387</v>
      </c>
    </row>
    <row r="57" spans="2:2" x14ac:dyDescent="0.25">
      <c r="B57" s="59" t="s">
        <v>388</v>
      </c>
    </row>
    <row r="58" spans="2:2" x14ac:dyDescent="0.25">
      <c r="B58" s="59" t="s">
        <v>389</v>
      </c>
    </row>
    <row r="59" spans="2:2" x14ac:dyDescent="0.25">
      <c r="B59" s="59" t="s">
        <v>390</v>
      </c>
    </row>
    <row r="60" spans="2:2" x14ac:dyDescent="0.25">
      <c r="B60" s="59" t="s">
        <v>391</v>
      </c>
    </row>
    <row r="61" spans="2:2" x14ac:dyDescent="0.25">
      <c r="B61" s="59" t="s">
        <v>392</v>
      </c>
    </row>
    <row r="62" spans="2:2" x14ac:dyDescent="0.25">
      <c r="B62" s="59" t="s">
        <v>393</v>
      </c>
    </row>
    <row r="63" spans="2:2" x14ac:dyDescent="0.25">
      <c r="B63" s="59" t="s">
        <v>394</v>
      </c>
    </row>
    <row r="64" spans="2:2" x14ac:dyDescent="0.25">
      <c r="B64" s="59" t="s">
        <v>399</v>
      </c>
    </row>
    <row r="65" spans="2:2" x14ac:dyDescent="0.25">
      <c r="B65" s="59" t="s">
        <v>395</v>
      </c>
    </row>
    <row r="66" spans="2:2" x14ac:dyDescent="0.25">
      <c r="B66" s="59" t="s">
        <v>396</v>
      </c>
    </row>
    <row r="67" spans="2:2" x14ac:dyDescent="0.25">
      <c r="B67" s="59" t="s">
        <v>397</v>
      </c>
    </row>
    <row r="68" spans="2:2" x14ac:dyDescent="0.25">
      <c r="B68" s="59" t="s">
        <v>398</v>
      </c>
    </row>
    <row r="69" spans="2:2" x14ac:dyDescent="0.25">
      <c r="B69" s="59" t="s">
        <v>400</v>
      </c>
    </row>
    <row r="70" spans="2:2" x14ac:dyDescent="0.25">
      <c r="B70" s="59" t="s">
        <v>401</v>
      </c>
    </row>
    <row r="71" spans="2:2" x14ac:dyDescent="0.25">
      <c r="B71" s="59" t="s">
        <v>402</v>
      </c>
    </row>
    <row r="72" spans="2:2" x14ac:dyDescent="0.25">
      <c r="B72" s="59" t="s">
        <v>404</v>
      </c>
    </row>
    <row r="73" spans="2:2" x14ac:dyDescent="0.25">
      <c r="B73" s="59" t="s">
        <v>405</v>
      </c>
    </row>
    <row r="74" spans="2:2" x14ac:dyDescent="0.25">
      <c r="B74" s="59" t="s">
        <v>403</v>
      </c>
    </row>
    <row r="75" spans="2:2" x14ac:dyDescent="0.25">
      <c r="B75" s="59" t="s">
        <v>406</v>
      </c>
    </row>
    <row r="76" spans="2:2" x14ac:dyDescent="0.25">
      <c r="B76" s="59" t="s">
        <v>407</v>
      </c>
    </row>
    <row r="77" spans="2:2" x14ac:dyDescent="0.25">
      <c r="B77" s="69" t="s">
        <v>408</v>
      </c>
    </row>
    <row r="78" spans="2:2" x14ac:dyDescent="0.25">
      <c r="B78" s="69" t="s">
        <v>409</v>
      </c>
    </row>
    <row r="79" spans="2:2" x14ac:dyDescent="0.25">
      <c r="B79" s="69" t="s">
        <v>410</v>
      </c>
    </row>
    <row r="80" spans="2:2" x14ac:dyDescent="0.25">
      <c r="B80" s="69" t="s">
        <v>411</v>
      </c>
    </row>
    <row r="81" spans="2:2" x14ac:dyDescent="0.25">
      <c r="B81" s="69" t="s">
        <v>412</v>
      </c>
    </row>
    <row r="82" spans="2:2" x14ac:dyDescent="0.25">
      <c r="B82" s="69" t="s">
        <v>413</v>
      </c>
    </row>
    <row r="83" spans="2:2" x14ac:dyDescent="0.25">
      <c r="B83" s="69" t="s">
        <v>414</v>
      </c>
    </row>
    <row r="84" spans="2:2" ht="25.5" x14ac:dyDescent="0.25">
      <c r="B84" s="70" t="s">
        <v>636</v>
      </c>
    </row>
    <row r="85" spans="2:2" x14ac:dyDescent="0.25">
      <c r="B85" s="69" t="s">
        <v>415</v>
      </c>
    </row>
    <row r="86" spans="2:2" x14ac:dyDescent="0.25">
      <c r="B86" s="69" t="s">
        <v>416</v>
      </c>
    </row>
    <row r="87" spans="2:2" x14ac:dyDescent="0.25">
      <c r="B87" s="69" t="s">
        <v>417</v>
      </c>
    </row>
    <row r="88" spans="2:2" x14ac:dyDescent="0.25">
      <c r="B88" s="69" t="s">
        <v>418</v>
      </c>
    </row>
    <row r="89" spans="2:2" x14ac:dyDescent="0.25">
      <c r="B89" s="69" t="s">
        <v>419</v>
      </c>
    </row>
    <row r="90" spans="2:2" x14ac:dyDescent="0.25">
      <c r="B90" s="69" t="s">
        <v>420</v>
      </c>
    </row>
    <row r="91" spans="2:2" ht="25.5" x14ac:dyDescent="0.25">
      <c r="B91" s="70" t="s">
        <v>639</v>
      </c>
    </row>
    <row r="92" spans="2:2" x14ac:dyDescent="0.25">
      <c r="B92" s="69" t="s">
        <v>421</v>
      </c>
    </row>
    <row r="93" spans="2:2" x14ac:dyDescent="0.25">
      <c r="B93" s="69" t="s">
        <v>422</v>
      </c>
    </row>
    <row r="94" spans="2:2" x14ac:dyDescent="0.25">
      <c r="B94" s="69" t="s">
        <v>423</v>
      </c>
    </row>
    <row r="95" spans="2:2" x14ac:dyDescent="0.25">
      <c r="B95" s="69" t="s">
        <v>424</v>
      </c>
    </row>
    <row r="96" spans="2:2" x14ac:dyDescent="0.25">
      <c r="B96" s="69" t="s">
        <v>425</v>
      </c>
    </row>
    <row r="97" spans="2:2" x14ac:dyDescent="0.25">
      <c r="B97" s="69" t="s">
        <v>426</v>
      </c>
    </row>
    <row r="98" spans="2:2" ht="25.5" x14ac:dyDescent="0.25">
      <c r="B98" s="70" t="s">
        <v>638</v>
      </c>
    </row>
    <row r="99" spans="2:2" x14ac:dyDescent="0.25">
      <c r="B99" s="69" t="s">
        <v>427</v>
      </c>
    </row>
    <row r="100" spans="2:2" x14ac:dyDescent="0.25">
      <c r="B100" s="69" t="s">
        <v>428</v>
      </c>
    </row>
    <row r="101" spans="2:2" x14ac:dyDescent="0.25">
      <c r="B101" s="69" t="s">
        <v>429</v>
      </c>
    </row>
    <row r="102" spans="2:2" x14ac:dyDescent="0.25">
      <c r="B102" s="69" t="s">
        <v>430</v>
      </c>
    </row>
    <row r="103" spans="2:2" x14ac:dyDescent="0.25">
      <c r="B103" s="69" t="s">
        <v>431</v>
      </c>
    </row>
    <row r="104" spans="2:2" x14ac:dyDescent="0.25">
      <c r="B104" s="69" t="s">
        <v>432</v>
      </c>
    </row>
    <row r="105" spans="2:2" ht="25.5" x14ac:dyDescent="0.25">
      <c r="B105" s="70" t="s">
        <v>637</v>
      </c>
    </row>
    <row r="106" spans="2:2" x14ac:dyDescent="0.25">
      <c r="B106" s="69" t="s">
        <v>433</v>
      </c>
    </row>
    <row r="107" spans="2:2" x14ac:dyDescent="0.25">
      <c r="B107" s="69" t="s">
        <v>434</v>
      </c>
    </row>
    <row r="108" spans="2:2" x14ac:dyDescent="0.25">
      <c r="B108" s="69" t="s">
        <v>435</v>
      </c>
    </row>
  </sheetData>
  <conditionalFormatting sqref="L4:L11 B13:B100">
    <cfRule type="cellIs" dxfId="7" priority="3" operator="equal">
      <formula>"#NA"</formula>
    </cfRule>
  </conditionalFormatting>
  <conditionalFormatting sqref="B4:L11">
    <cfRule type="cellIs" dxfId="6" priority="4" operator="equal">
      <formula>"#NA"</formula>
    </cfRule>
  </conditionalFormatting>
  <conditionalFormatting sqref="B93:B100">
    <cfRule type="cellIs" dxfId="5" priority="1" operator="equal">
      <formula>"#NA"</formula>
    </cfRule>
  </conditionalFormatting>
  <pageMargins left="0.7" right="0.7" top="0.75" bottom="0.75" header="0.3" footer="0.3"/>
  <pageSetup paperSize="9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M12"/>
  <sheetViews>
    <sheetView workbookViewId="0">
      <selection activeCell="H11" sqref="H11"/>
    </sheetView>
  </sheetViews>
  <sheetFormatPr defaultRowHeight="15" x14ac:dyDescent="0.25"/>
  <sheetData>
    <row r="1" spans="1:13" x14ac:dyDescent="0.25">
      <c r="B1" s="101" t="s">
        <v>622</v>
      </c>
    </row>
    <row r="3" spans="1:13" ht="15.75" thickBot="1" x14ac:dyDescent="0.3">
      <c r="A3" s="96"/>
      <c r="B3" s="98">
        <v>1</v>
      </c>
      <c r="C3" s="99">
        <v>2</v>
      </c>
      <c r="D3" s="98">
        <v>3</v>
      </c>
      <c r="E3" s="99">
        <v>4</v>
      </c>
      <c r="F3" s="98">
        <v>5</v>
      </c>
      <c r="G3" s="99">
        <v>6</v>
      </c>
      <c r="H3" s="98">
        <v>7</v>
      </c>
      <c r="I3" s="99">
        <v>8</v>
      </c>
      <c r="J3" s="98">
        <v>9</v>
      </c>
      <c r="K3" s="99">
        <v>10</v>
      </c>
      <c r="L3" s="98">
        <v>11</v>
      </c>
      <c r="M3" s="99">
        <v>12</v>
      </c>
    </row>
    <row r="4" spans="1:13" ht="16.5" thickTop="1" thickBot="1" x14ac:dyDescent="0.3">
      <c r="A4" s="97" t="s">
        <v>0</v>
      </c>
      <c r="B4" s="58" t="s">
        <v>158</v>
      </c>
      <c r="C4" s="58" t="s">
        <v>443</v>
      </c>
      <c r="D4" s="59" t="s">
        <v>451</v>
      </c>
      <c r="E4" s="59" t="s">
        <v>473</v>
      </c>
      <c r="F4" s="59" t="s">
        <v>465</v>
      </c>
      <c r="G4" s="59" t="s">
        <v>476</v>
      </c>
      <c r="H4" s="59" t="s">
        <v>484</v>
      </c>
      <c r="I4" s="59" t="s">
        <v>492</v>
      </c>
      <c r="J4" s="69" t="s">
        <v>500</v>
      </c>
      <c r="K4" s="69" t="s">
        <v>507</v>
      </c>
      <c r="L4" s="69" t="s">
        <v>514</v>
      </c>
      <c r="M4" s="69" t="s">
        <v>522</v>
      </c>
    </row>
    <row r="5" spans="1:13" ht="16.5" thickTop="1" thickBot="1" x14ac:dyDescent="0.3">
      <c r="A5" s="97" t="s">
        <v>1</v>
      </c>
      <c r="B5" s="58" t="s">
        <v>436</v>
      </c>
      <c r="C5" s="58" t="s">
        <v>444</v>
      </c>
      <c r="D5" s="58" t="s">
        <v>452</v>
      </c>
      <c r="E5" s="59" t="s">
        <v>459</v>
      </c>
      <c r="F5" s="59" t="s">
        <v>466</v>
      </c>
      <c r="G5" s="59" t="s">
        <v>477</v>
      </c>
      <c r="H5" s="59" t="s">
        <v>485</v>
      </c>
      <c r="I5" s="59" t="s">
        <v>493</v>
      </c>
      <c r="J5" s="69" t="s">
        <v>501</v>
      </c>
      <c r="K5" s="69" t="s">
        <v>508</v>
      </c>
      <c r="L5" s="69" t="s">
        <v>516</v>
      </c>
      <c r="M5" s="69" t="s">
        <v>524</v>
      </c>
    </row>
    <row r="6" spans="1:13" ht="16.5" thickTop="1" thickBot="1" x14ac:dyDescent="0.3">
      <c r="A6" s="97" t="s">
        <v>2</v>
      </c>
      <c r="B6" s="58" t="s">
        <v>437</v>
      </c>
      <c r="C6" s="58" t="s">
        <v>445</v>
      </c>
      <c r="D6" s="58" t="s">
        <v>453</v>
      </c>
      <c r="E6" s="59" t="s">
        <v>474</v>
      </c>
      <c r="F6" s="59" t="s">
        <v>467</v>
      </c>
      <c r="G6" s="59" t="s">
        <v>478</v>
      </c>
      <c r="H6" s="59" t="s">
        <v>486</v>
      </c>
      <c r="I6" s="59" t="s">
        <v>494</v>
      </c>
      <c r="J6" s="69" t="s">
        <v>502</v>
      </c>
      <c r="K6" s="69" t="s">
        <v>509</v>
      </c>
      <c r="L6" s="69" t="s">
        <v>517</v>
      </c>
      <c r="M6" s="69" t="s">
        <v>525</v>
      </c>
    </row>
    <row r="7" spans="1:13" ht="16.5" thickTop="1" thickBot="1" x14ac:dyDescent="0.3">
      <c r="A7" s="97" t="s">
        <v>3</v>
      </c>
      <c r="B7" s="58" t="s">
        <v>438</v>
      </c>
      <c r="C7" s="58" t="s">
        <v>446</v>
      </c>
      <c r="D7" s="58" t="s">
        <v>454</v>
      </c>
      <c r="E7" s="59" t="s">
        <v>460</v>
      </c>
      <c r="F7" s="59" t="s">
        <v>468</v>
      </c>
      <c r="G7" s="59" t="s">
        <v>479</v>
      </c>
      <c r="H7" s="59" t="s">
        <v>487</v>
      </c>
      <c r="I7" s="59" t="s">
        <v>495</v>
      </c>
      <c r="J7" s="69" t="s">
        <v>503</v>
      </c>
      <c r="K7" s="69" t="s">
        <v>510</v>
      </c>
      <c r="L7" s="69" t="s">
        <v>518</v>
      </c>
      <c r="M7" s="69" t="s">
        <v>526</v>
      </c>
    </row>
    <row r="8" spans="1:13" ht="27" thickTop="1" thickBot="1" x14ac:dyDescent="0.3">
      <c r="A8" s="97" t="s">
        <v>4</v>
      </c>
      <c r="B8" s="58" t="s">
        <v>439</v>
      </c>
      <c r="C8" s="58" t="s">
        <v>447</v>
      </c>
      <c r="D8" s="58" t="s">
        <v>455</v>
      </c>
      <c r="E8" s="59" t="s">
        <v>461</v>
      </c>
      <c r="F8" s="59" t="s">
        <v>469</v>
      </c>
      <c r="G8" s="59" t="s">
        <v>480</v>
      </c>
      <c r="H8" s="59" t="s">
        <v>488</v>
      </c>
      <c r="I8" s="59" t="s">
        <v>496</v>
      </c>
      <c r="J8" s="69" t="s">
        <v>504</v>
      </c>
      <c r="K8" s="69" t="s">
        <v>511</v>
      </c>
      <c r="L8" s="69" t="s">
        <v>519</v>
      </c>
      <c r="M8" s="70" t="s">
        <v>640</v>
      </c>
    </row>
    <row r="9" spans="1:13" ht="27" thickTop="1" thickBot="1" x14ac:dyDescent="0.3">
      <c r="A9" s="97" t="s">
        <v>5</v>
      </c>
      <c r="B9" s="58" t="s">
        <v>440</v>
      </c>
      <c r="C9" s="58" t="s">
        <v>448</v>
      </c>
      <c r="D9" s="58" t="s">
        <v>456</v>
      </c>
      <c r="E9" s="59" t="s">
        <v>462</v>
      </c>
      <c r="F9" s="59" t="s">
        <v>470</v>
      </c>
      <c r="G9" s="59" t="s">
        <v>481</v>
      </c>
      <c r="H9" s="59" t="s">
        <v>489</v>
      </c>
      <c r="I9" s="59" t="s">
        <v>497</v>
      </c>
      <c r="J9" s="69" t="s">
        <v>505</v>
      </c>
      <c r="K9" s="69" t="s">
        <v>512</v>
      </c>
      <c r="L9" s="70" t="s">
        <v>641</v>
      </c>
      <c r="M9" s="69" t="s">
        <v>527</v>
      </c>
    </row>
    <row r="10" spans="1:13" ht="27" thickTop="1" thickBot="1" x14ac:dyDescent="0.3">
      <c r="A10" s="97" t="s">
        <v>6</v>
      </c>
      <c r="B10" s="58" t="s">
        <v>441</v>
      </c>
      <c r="C10" s="58" t="s">
        <v>449</v>
      </c>
      <c r="D10" s="58" t="s">
        <v>457</v>
      </c>
      <c r="E10" s="59" t="s">
        <v>463</v>
      </c>
      <c r="F10" s="59" t="s">
        <v>471</v>
      </c>
      <c r="G10" s="59" t="s">
        <v>482</v>
      </c>
      <c r="H10" s="59" t="s">
        <v>490</v>
      </c>
      <c r="I10" s="59" t="s">
        <v>498</v>
      </c>
      <c r="J10" s="69" t="s">
        <v>506</v>
      </c>
      <c r="K10" s="70" t="s">
        <v>642</v>
      </c>
      <c r="L10" s="69" t="s">
        <v>520</v>
      </c>
      <c r="M10" s="69" t="s">
        <v>528</v>
      </c>
    </row>
    <row r="11" spans="1:13" ht="27" thickTop="1" thickBot="1" x14ac:dyDescent="0.3">
      <c r="A11" s="97" t="s">
        <v>7</v>
      </c>
      <c r="B11" s="58" t="s">
        <v>442</v>
      </c>
      <c r="C11" s="58" t="s">
        <v>450</v>
      </c>
      <c r="D11" s="58" t="s">
        <v>458</v>
      </c>
      <c r="E11" s="59" t="s">
        <v>464</v>
      </c>
      <c r="F11" s="59" t="s">
        <v>475</v>
      </c>
      <c r="G11" s="59" t="s">
        <v>483</v>
      </c>
      <c r="H11" s="59" t="s">
        <v>491</v>
      </c>
      <c r="I11" s="59" t="s">
        <v>499</v>
      </c>
      <c r="J11" s="70" t="s">
        <v>643</v>
      </c>
      <c r="K11" s="69" t="s">
        <v>513</v>
      </c>
      <c r="L11" s="69" t="s">
        <v>521</v>
      </c>
      <c r="M11" s="69" t="s">
        <v>472</v>
      </c>
    </row>
    <row r="12" spans="1:13" ht="15.75" thickTop="1" x14ac:dyDescent="0.25"/>
  </sheetData>
  <conditionalFormatting sqref="L4:L11">
    <cfRule type="cellIs" dxfId="4" priority="3" operator="equal">
      <formula>"#NA"</formula>
    </cfRule>
  </conditionalFormatting>
  <conditionalFormatting sqref="B4:L11">
    <cfRule type="cellIs" dxfId="3" priority="4" operator="equal">
      <formula>"#NA"</formula>
    </cfRule>
  </conditionalFormatting>
  <pageMargins left="0.7" right="0.7" top="0.75" bottom="0.75" header="0.3" footer="0.3"/>
  <pageSetup paperSize="9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08"/>
  <sheetViews>
    <sheetView workbookViewId="0">
      <selection activeCell="L9" sqref="L9"/>
    </sheetView>
  </sheetViews>
  <sheetFormatPr defaultRowHeight="15" x14ac:dyDescent="0.25"/>
  <cols>
    <col min="9" max="9" width="17.28515625" bestFit="1" customWidth="1"/>
  </cols>
  <sheetData>
    <row r="1" spans="1:13" x14ac:dyDescent="0.25">
      <c r="B1" s="101" t="s">
        <v>623</v>
      </c>
    </row>
    <row r="3" spans="1:13" ht="15.75" thickBot="1" x14ac:dyDescent="0.3">
      <c r="A3" s="96"/>
      <c r="B3" s="98">
        <v>1</v>
      </c>
      <c r="C3" s="99">
        <v>2</v>
      </c>
      <c r="D3" s="98">
        <v>3</v>
      </c>
      <c r="E3" s="99">
        <v>4</v>
      </c>
      <c r="F3" s="98">
        <v>5</v>
      </c>
      <c r="G3" s="99">
        <v>6</v>
      </c>
      <c r="H3" s="98">
        <v>7</v>
      </c>
      <c r="I3" s="102">
        <v>8</v>
      </c>
      <c r="J3" s="98">
        <v>9</v>
      </c>
      <c r="K3" s="99">
        <v>10</v>
      </c>
      <c r="L3" s="98">
        <v>11</v>
      </c>
      <c r="M3" s="99">
        <v>12</v>
      </c>
    </row>
    <row r="4" spans="1:13" ht="16.5" thickTop="1" thickBot="1" x14ac:dyDescent="0.3">
      <c r="A4" s="97" t="s">
        <v>0</v>
      </c>
      <c r="B4" s="91" t="s">
        <v>610</v>
      </c>
      <c r="C4" s="91" t="s">
        <v>602</v>
      </c>
      <c r="D4" s="91" t="s">
        <v>594</v>
      </c>
      <c r="E4" s="91" t="s">
        <v>586</v>
      </c>
      <c r="F4" s="91" t="s">
        <v>578</v>
      </c>
      <c r="G4" s="92" t="s">
        <v>570</v>
      </c>
      <c r="H4" s="91" t="s">
        <v>562</v>
      </c>
      <c r="I4" s="91" t="s">
        <v>555</v>
      </c>
      <c r="J4" s="93" t="s">
        <v>547</v>
      </c>
      <c r="K4" s="69" t="s">
        <v>523</v>
      </c>
      <c r="L4" s="69" t="s">
        <v>535</v>
      </c>
      <c r="M4" s="69" t="s">
        <v>542</v>
      </c>
    </row>
    <row r="5" spans="1:13" ht="16.5" thickTop="1" thickBot="1" x14ac:dyDescent="0.3">
      <c r="A5" s="97" t="s">
        <v>1</v>
      </c>
      <c r="B5" s="91" t="s">
        <v>611</v>
      </c>
      <c r="C5" s="91" t="s">
        <v>603</v>
      </c>
      <c r="D5" s="91" t="s">
        <v>595</v>
      </c>
      <c r="E5" s="91" t="s">
        <v>587</v>
      </c>
      <c r="F5" s="91" t="s">
        <v>579</v>
      </c>
      <c r="G5" s="92" t="s">
        <v>571</v>
      </c>
      <c r="H5" s="91" t="s">
        <v>563</v>
      </c>
      <c r="I5" s="91" t="s">
        <v>556</v>
      </c>
      <c r="J5" s="93" t="s">
        <v>548</v>
      </c>
      <c r="K5" s="69" t="s">
        <v>529</v>
      </c>
      <c r="L5" s="69" t="s">
        <v>536</v>
      </c>
      <c r="M5" s="69" t="s">
        <v>543</v>
      </c>
    </row>
    <row r="6" spans="1:13" ht="16.5" thickTop="1" thickBot="1" x14ac:dyDescent="0.3">
      <c r="A6" s="97" t="s">
        <v>2</v>
      </c>
      <c r="B6" s="91" t="s">
        <v>612</v>
      </c>
      <c r="C6" s="91" t="s">
        <v>604</v>
      </c>
      <c r="D6" s="91" t="s">
        <v>596</v>
      </c>
      <c r="E6" s="91" t="s">
        <v>588</v>
      </c>
      <c r="F6" s="91" t="s">
        <v>580</v>
      </c>
      <c r="G6" s="92" t="s">
        <v>572</v>
      </c>
      <c r="H6" s="91" t="s">
        <v>564</v>
      </c>
      <c r="I6" s="91" t="s">
        <v>557</v>
      </c>
      <c r="J6" s="93" t="s">
        <v>549</v>
      </c>
      <c r="K6" s="69" t="s">
        <v>530</v>
      </c>
      <c r="L6" s="69" t="s">
        <v>537</v>
      </c>
      <c r="M6" s="69" t="s">
        <v>544</v>
      </c>
    </row>
    <row r="7" spans="1:13" ht="16.5" thickTop="1" thickBot="1" x14ac:dyDescent="0.3">
      <c r="A7" s="97" t="s">
        <v>3</v>
      </c>
      <c r="B7" s="91" t="s">
        <v>613</v>
      </c>
      <c r="C7" s="91" t="s">
        <v>605</v>
      </c>
      <c r="D7" s="91" t="s">
        <v>597</v>
      </c>
      <c r="E7" s="91" t="s">
        <v>589</v>
      </c>
      <c r="F7" s="91" t="s">
        <v>581</v>
      </c>
      <c r="G7" s="92" t="s">
        <v>573</v>
      </c>
      <c r="H7" s="91" t="s">
        <v>565</v>
      </c>
      <c r="I7" s="95" t="s">
        <v>644</v>
      </c>
      <c r="J7" s="93" t="s">
        <v>550</v>
      </c>
      <c r="K7" s="69" t="s">
        <v>531</v>
      </c>
      <c r="L7" s="69" t="s">
        <v>538</v>
      </c>
      <c r="M7" s="69" t="s">
        <v>545</v>
      </c>
    </row>
    <row r="8" spans="1:13" ht="27" thickTop="1" thickBot="1" x14ac:dyDescent="0.3">
      <c r="A8" s="97" t="s">
        <v>4</v>
      </c>
      <c r="B8" s="91" t="s">
        <v>614</v>
      </c>
      <c r="C8" s="91" t="s">
        <v>606</v>
      </c>
      <c r="D8" s="91" t="s">
        <v>598</v>
      </c>
      <c r="E8" s="91" t="s">
        <v>590</v>
      </c>
      <c r="F8" s="91" t="s">
        <v>582</v>
      </c>
      <c r="G8" s="91" t="s">
        <v>574</v>
      </c>
      <c r="H8" s="91" t="s">
        <v>566</v>
      </c>
      <c r="I8" s="91" t="s">
        <v>559</v>
      </c>
      <c r="J8" s="93" t="s">
        <v>551</v>
      </c>
      <c r="K8" s="69" t="s">
        <v>532</v>
      </c>
      <c r="L8" s="69" t="s">
        <v>539</v>
      </c>
      <c r="M8" s="70" t="s">
        <v>647</v>
      </c>
    </row>
    <row r="9" spans="1:13" ht="27" thickTop="1" thickBot="1" x14ac:dyDescent="0.3">
      <c r="A9" s="97" t="s">
        <v>5</v>
      </c>
      <c r="B9" s="91" t="s">
        <v>615</v>
      </c>
      <c r="C9" s="91" t="s">
        <v>607</v>
      </c>
      <c r="D9" s="91" t="s">
        <v>599</v>
      </c>
      <c r="E9" s="91" t="s">
        <v>591</v>
      </c>
      <c r="F9" s="91" t="s">
        <v>583</v>
      </c>
      <c r="G9" s="91" t="s">
        <v>575</v>
      </c>
      <c r="H9" s="91" t="s">
        <v>567</v>
      </c>
      <c r="I9" s="91" t="s">
        <v>560</v>
      </c>
      <c r="J9" s="93" t="s">
        <v>552</v>
      </c>
      <c r="K9" s="69" t="s">
        <v>533</v>
      </c>
      <c r="L9" s="70" t="s">
        <v>646</v>
      </c>
      <c r="M9" s="69" t="s">
        <v>515</v>
      </c>
    </row>
    <row r="10" spans="1:13" ht="27" thickTop="1" thickBot="1" x14ac:dyDescent="0.3">
      <c r="A10" s="97" t="s">
        <v>6</v>
      </c>
      <c r="B10" s="91" t="s">
        <v>616</v>
      </c>
      <c r="C10" s="91" t="s">
        <v>608</v>
      </c>
      <c r="D10" s="91" t="s">
        <v>600</v>
      </c>
      <c r="E10" s="91" t="s">
        <v>592</v>
      </c>
      <c r="F10" s="91" t="s">
        <v>584</v>
      </c>
      <c r="G10" s="91" t="s">
        <v>576</v>
      </c>
      <c r="H10" s="91" t="s">
        <v>568</v>
      </c>
      <c r="I10" s="91" t="s">
        <v>561</v>
      </c>
      <c r="J10" s="93" t="s">
        <v>553</v>
      </c>
      <c r="K10" s="70" t="s">
        <v>645</v>
      </c>
      <c r="L10" s="69" t="s">
        <v>540</v>
      </c>
      <c r="M10" s="69" t="s">
        <v>546</v>
      </c>
    </row>
    <row r="11" spans="1:13" ht="16.5" thickTop="1" thickBot="1" x14ac:dyDescent="0.3">
      <c r="A11" s="97" t="s">
        <v>7</v>
      </c>
      <c r="B11" s="91" t="s">
        <v>617</v>
      </c>
      <c r="C11" s="91" t="s">
        <v>609</v>
      </c>
      <c r="D11" s="91" t="s">
        <v>601</v>
      </c>
      <c r="E11" s="91" t="s">
        <v>593</v>
      </c>
      <c r="F11" s="91" t="s">
        <v>585</v>
      </c>
      <c r="G11" s="91" t="s">
        <v>577</v>
      </c>
      <c r="H11" s="91" t="s">
        <v>569</v>
      </c>
      <c r="I11" s="103" t="s">
        <v>558</v>
      </c>
      <c r="J11" s="94" t="s">
        <v>554</v>
      </c>
      <c r="K11" s="69" t="s">
        <v>534</v>
      </c>
      <c r="L11" s="69" t="s">
        <v>541</v>
      </c>
      <c r="M11" s="69" t="s">
        <v>435</v>
      </c>
    </row>
    <row r="12" spans="1:13" ht="15.75" thickTop="1" x14ac:dyDescent="0.25">
      <c r="I12" s="104"/>
    </row>
    <row r="13" spans="1:13" x14ac:dyDescent="0.25">
      <c r="B13" s="91" t="s">
        <v>610</v>
      </c>
    </row>
    <row r="14" spans="1:13" x14ac:dyDescent="0.25">
      <c r="B14" s="91" t="s">
        <v>611</v>
      </c>
    </row>
    <row r="15" spans="1:13" x14ac:dyDescent="0.25">
      <c r="B15" s="91" t="s">
        <v>612</v>
      </c>
    </row>
    <row r="16" spans="1:13" x14ac:dyDescent="0.25">
      <c r="B16" s="91" t="s">
        <v>613</v>
      </c>
    </row>
    <row r="17" spans="2:2" x14ac:dyDescent="0.25">
      <c r="B17" s="91" t="s">
        <v>614</v>
      </c>
    </row>
    <row r="18" spans="2:2" x14ac:dyDescent="0.25">
      <c r="B18" s="91" t="s">
        <v>615</v>
      </c>
    </row>
    <row r="19" spans="2:2" x14ac:dyDescent="0.25">
      <c r="B19" s="91" t="s">
        <v>616</v>
      </c>
    </row>
    <row r="20" spans="2:2" x14ac:dyDescent="0.25">
      <c r="B20" s="91" t="s">
        <v>617</v>
      </c>
    </row>
    <row r="21" spans="2:2" x14ac:dyDescent="0.25">
      <c r="B21" s="91" t="s">
        <v>602</v>
      </c>
    </row>
    <row r="22" spans="2:2" x14ac:dyDescent="0.25">
      <c r="B22" s="91" t="s">
        <v>603</v>
      </c>
    </row>
    <row r="23" spans="2:2" x14ac:dyDescent="0.25">
      <c r="B23" s="91" t="s">
        <v>604</v>
      </c>
    </row>
    <row r="24" spans="2:2" x14ac:dyDescent="0.25">
      <c r="B24" s="91" t="s">
        <v>605</v>
      </c>
    </row>
    <row r="25" spans="2:2" x14ac:dyDescent="0.25">
      <c r="B25" s="91" t="s">
        <v>606</v>
      </c>
    </row>
    <row r="26" spans="2:2" x14ac:dyDescent="0.25">
      <c r="B26" s="91" t="s">
        <v>607</v>
      </c>
    </row>
    <row r="27" spans="2:2" x14ac:dyDescent="0.25">
      <c r="B27" s="91" t="s">
        <v>608</v>
      </c>
    </row>
    <row r="28" spans="2:2" x14ac:dyDescent="0.25">
      <c r="B28" s="91" t="s">
        <v>609</v>
      </c>
    </row>
    <row r="29" spans="2:2" x14ac:dyDescent="0.25">
      <c r="B29" s="91" t="s">
        <v>594</v>
      </c>
    </row>
    <row r="30" spans="2:2" x14ac:dyDescent="0.25">
      <c r="B30" s="91" t="s">
        <v>595</v>
      </c>
    </row>
    <row r="31" spans="2:2" x14ac:dyDescent="0.25">
      <c r="B31" s="91" t="s">
        <v>596</v>
      </c>
    </row>
    <row r="32" spans="2:2" x14ac:dyDescent="0.25">
      <c r="B32" s="91" t="s">
        <v>597</v>
      </c>
    </row>
    <row r="33" spans="2:2" x14ac:dyDescent="0.25">
      <c r="B33" s="91" t="s">
        <v>598</v>
      </c>
    </row>
    <row r="34" spans="2:2" x14ac:dyDescent="0.25">
      <c r="B34" s="91" t="s">
        <v>599</v>
      </c>
    </row>
    <row r="35" spans="2:2" x14ac:dyDescent="0.25">
      <c r="B35" s="91" t="s">
        <v>600</v>
      </c>
    </row>
    <row r="36" spans="2:2" x14ac:dyDescent="0.25">
      <c r="B36" s="91" t="s">
        <v>601</v>
      </c>
    </row>
    <row r="37" spans="2:2" x14ac:dyDescent="0.25">
      <c r="B37" s="91" t="s">
        <v>586</v>
      </c>
    </row>
    <row r="38" spans="2:2" x14ac:dyDescent="0.25">
      <c r="B38" s="91" t="s">
        <v>587</v>
      </c>
    </row>
    <row r="39" spans="2:2" x14ac:dyDescent="0.25">
      <c r="B39" s="91" t="s">
        <v>588</v>
      </c>
    </row>
    <row r="40" spans="2:2" x14ac:dyDescent="0.25">
      <c r="B40" s="91" t="s">
        <v>589</v>
      </c>
    </row>
    <row r="41" spans="2:2" x14ac:dyDescent="0.25">
      <c r="B41" s="91" t="s">
        <v>590</v>
      </c>
    </row>
    <row r="42" spans="2:2" x14ac:dyDescent="0.25">
      <c r="B42" s="91" t="s">
        <v>591</v>
      </c>
    </row>
    <row r="43" spans="2:2" x14ac:dyDescent="0.25">
      <c r="B43" s="91" t="s">
        <v>592</v>
      </c>
    </row>
    <row r="44" spans="2:2" x14ac:dyDescent="0.25">
      <c r="B44" s="91" t="s">
        <v>593</v>
      </c>
    </row>
    <row r="45" spans="2:2" x14ac:dyDescent="0.25">
      <c r="B45" s="91" t="s">
        <v>578</v>
      </c>
    </row>
    <row r="46" spans="2:2" x14ac:dyDescent="0.25">
      <c r="B46" s="91" t="s">
        <v>579</v>
      </c>
    </row>
    <row r="47" spans="2:2" x14ac:dyDescent="0.25">
      <c r="B47" s="91" t="s">
        <v>580</v>
      </c>
    </row>
    <row r="48" spans="2:2" x14ac:dyDescent="0.25">
      <c r="B48" s="91" t="s">
        <v>581</v>
      </c>
    </row>
    <row r="49" spans="2:2" x14ac:dyDescent="0.25">
      <c r="B49" s="91" t="s">
        <v>582</v>
      </c>
    </row>
    <row r="50" spans="2:2" x14ac:dyDescent="0.25">
      <c r="B50" s="91" t="s">
        <v>583</v>
      </c>
    </row>
    <row r="51" spans="2:2" x14ac:dyDescent="0.25">
      <c r="B51" s="91" t="s">
        <v>584</v>
      </c>
    </row>
    <row r="52" spans="2:2" x14ac:dyDescent="0.25">
      <c r="B52" s="91" t="s">
        <v>585</v>
      </c>
    </row>
    <row r="53" spans="2:2" x14ac:dyDescent="0.25">
      <c r="B53" s="92" t="s">
        <v>570</v>
      </c>
    </row>
    <row r="54" spans="2:2" x14ac:dyDescent="0.25">
      <c r="B54" s="92" t="s">
        <v>571</v>
      </c>
    </row>
    <row r="55" spans="2:2" x14ac:dyDescent="0.25">
      <c r="B55" s="92" t="s">
        <v>572</v>
      </c>
    </row>
    <row r="56" spans="2:2" x14ac:dyDescent="0.25">
      <c r="B56" s="92" t="s">
        <v>573</v>
      </c>
    </row>
    <row r="57" spans="2:2" x14ac:dyDescent="0.25">
      <c r="B57" s="91" t="s">
        <v>574</v>
      </c>
    </row>
    <row r="58" spans="2:2" x14ac:dyDescent="0.25">
      <c r="B58" s="91" t="s">
        <v>575</v>
      </c>
    </row>
    <row r="59" spans="2:2" x14ac:dyDescent="0.25">
      <c r="B59" s="91" t="s">
        <v>576</v>
      </c>
    </row>
    <row r="60" spans="2:2" x14ac:dyDescent="0.25">
      <c r="B60" s="91" t="s">
        <v>577</v>
      </c>
    </row>
    <row r="61" spans="2:2" x14ac:dyDescent="0.25">
      <c r="B61" s="91" t="s">
        <v>562</v>
      </c>
    </row>
    <row r="62" spans="2:2" x14ac:dyDescent="0.25">
      <c r="B62" s="91" t="s">
        <v>563</v>
      </c>
    </row>
    <row r="63" spans="2:2" x14ac:dyDescent="0.25">
      <c r="B63" s="91" t="s">
        <v>564</v>
      </c>
    </row>
    <row r="64" spans="2:2" x14ac:dyDescent="0.25">
      <c r="B64" s="91" t="s">
        <v>565</v>
      </c>
    </row>
    <row r="65" spans="2:2" x14ac:dyDescent="0.25">
      <c r="B65" s="91" t="s">
        <v>566</v>
      </c>
    </row>
    <row r="66" spans="2:2" x14ac:dyDescent="0.25">
      <c r="B66" s="91" t="s">
        <v>567</v>
      </c>
    </row>
    <row r="67" spans="2:2" x14ac:dyDescent="0.25">
      <c r="B67" s="91" t="s">
        <v>568</v>
      </c>
    </row>
    <row r="68" spans="2:2" x14ac:dyDescent="0.25">
      <c r="B68" s="91" t="s">
        <v>569</v>
      </c>
    </row>
    <row r="69" spans="2:2" x14ac:dyDescent="0.25">
      <c r="B69" s="91" t="s">
        <v>555</v>
      </c>
    </row>
    <row r="70" spans="2:2" x14ac:dyDescent="0.25">
      <c r="B70" s="91" t="s">
        <v>556</v>
      </c>
    </row>
    <row r="71" spans="2:2" x14ac:dyDescent="0.25">
      <c r="B71" s="91" t="s">
        <v>557</v>
      </c>
    </row>
    <row r="72" spans="2:2" x14ac:dyDescent="0.25">
      <c r="B72" s="95" t="s">
        <v>644</v>
      </c>
    </row>
    <row r="73" spans="2:2" x14ac:dyDescent="0.25">
      <c r="B73" s="91" t="s">
        <v>559</v>
      </c>
    </row>
    <row r="74" spans="2:2" x14ac:dyDescent="0.25">
      <c r="B74" s="91" t="s">
        <v>560</v>
      </c>
    </row>
    <row r="75" spans="2:2" x14ac:dyDescent="0.25">
      <c r="B75" s="91" t="s">
        <v>561</v>
      </c>
    </row>
    <row r="76" spans="2:2" x14ac:dyDescent="0.25">
      <c r="B76" s="103" t="s">
        <v>558</v>
      </c>
    </row>
    <row r="77" spans="2:2" x14ac:dyDescent="0.25">
      <c r="B77" s="93" t="s">
        <v>547</v>
      </c>
    </row>
    <row r="78" spans="2:2" x14ac:dyDescent="0.25">
      <c r="B78" s="93" t="s">
        <v>548</v>
      </c>
    </row>
    <row r="79" spans="2:2" x14ac:dyDescent="0.25">
      <c r="B79" s="93" t="s">
        <v>549</v>
      </c>
    </row>
    <row r="80" spans="2:2" x14ac:dyDescent="0.25">
      <c r="B80" s="93" t="s">
        <v>550</v>
      </c>
    </row>
    <row r="81" spans="2:2" x14ac:dyDescent="0.25">
      <c r="B81" s="93" t="s">
        <v>551</v>
      </c>
    </row>
    <row r="82" spans="2:2" x14ac:dyDescent="0.25">
      <c r="B82" s="93" t="s">
        <v>552</v>
      </c>
    </row>
    <row r="83" spans="2:2" x14ac:dyDescent="0.25">
      <c r="B83" s="93" t="s">
        <v>553</v>
      </c>
    </row>
    <row r="84" spans="2:2" x14ac:dyDescent="0.25">
      <c r="B84" s="94" t="s">
        <v>554</v>
      </c>
    </row>
    <row r="85" spans="2:2" x14ac:dyDescent="0.25">
      <c r="B85" s="69" t="s">
        <v>523</v>
      </c>
    </row>
    <row r="86" spans="2:2" x14ac:dyDescent="0.25">
      <c r="B86" s="69" t="s">
        <v>529</v>
      </c>
    </row>
    <row r="87" spans="2:2" x14ac:dyDescent="0.25">
      <c r="B87" s="69" t="s">
        <v>530</v>
      </c>
    </row>
    <row r="88" spans="2:2" x14ac:dyDescent="0.25">
      <c r="B88" s="69" t="s">
        <v>531</v>
      </c>
    </row>
    <row r="89" spans="2:2" x14ac:dyDescent="0.25">
      <c r="B89" s="69" t="s">
        <v>532</v>
      </c>
    </row>
    <row r="90" spans="2:2" x14ac:dyDescent="0.25">
      <c r="B90" s="69" t="s">
        <v>533</v>
      </c>
    </row>
    <row r="91" spans="2:2" ht="25.5" x14ac:dyDescent="0.25">
      <c r="B91" s="70" t="s">
        <v>645</v>
      </c>
    </row>
    <row r="92" spans="2:2" x14ac:dyDescent="0.25">
      <c r="B92" s="69" t="s">
        <v>534</v>
      </c>
    </row>
    <row r="93" spans="2:2" x14ac:dyDescent="0.25">
      <c r="B93" s="69" t="s">
        <v>535</v>
      </c>
    </row>
    <row r="94" spans="2:2" x14ac:dyDescent="0.25">
      <c r="B94" s="69" t="s">
        <v>536</v>
      </c>
    </row>
    <row r="95" spans="2:2" x14ac:dyDescent="0.25">
      <c r="B95" s="69" t="s">
        <v>537</v>
      </c>
    </row>
    <row r="96" spans="2:2" x14ac:dyDescent="0.25">
      <c r="B96" s="69" t="s">
        <v>538</v>
      </c>
    </row>
    <row r="97" spans="2:2" x14ac:dyDescent="0.25">
      <c r="B97" s="69" t="s">
        <v>539</v>
      </c>
    </row>
    <row r="98" spans="2:2" ht="25.5" x14ac:dyDescent="0.25">
      <c r="B98" s="70" t="s">
        <v>646</v>
      </c>
    </row>
    <row r="99" spans="2:2" x14ac:dyDescent="0.25">
      <c r="B99" s="69" t="s">
        <v>540</v>
      </c>
    </row>
    <row r="100" spans="2:2" x14ac:dyDescent="0.25">
      <c r="B100" s="69" t="s">
        <v>541</v>
      </c>
    </row>
    <row r="101" spans="2:2" x14ac:dyDescent="0.25">
      <c r="B101" s="69" t="s">
        <v>542</v>
      </c>
    </row>
    <row r="102" spans="2:2" x14ac:dyDescent="0.25">
      <c r="B102" s="69" t="s">
        <v>543</v>
      </c>
    </row>
    <row r="103" spans="2:2" x14ac:dyDescent="0.25">
      <c r="B103" s="69" t="s">
        <v>544</v>
      </c>
    </row>
    <row r="104" spans="2:2" x14ac:dyDescent="0.25">
      <c r="B104" s="69" t="s">
        <v>545</v>
      </c>
    </row>
    <row r="105" spans="2:2" ht="25.5" x14ac:dyDescent="0.25">
      <c r="B105" s="70" t="s">
        <v>647</v>
      </c>
    </row>
    <row r="106" spans="2:2" x14ac:dyDescent="0.25">
      <c r="B106" s="69" t="s">
        <v>515</v>
      </c>
    </row>
    <row r="107" spans="2:2" x14ac:dyDescent="0.25">
      <c r="B107" s="69" t="s">
        <v>546</v>
      </c>
    </row>
    <row r="108" spans="2:2" x14ac:dyDescent="0.25">
      <c r="B108" s="69" t="s">
        <v>435</v>
      </c>
    </row>
  </sheetData>
  <conditionalFormatting sqref="L4:L11 B85:B100">
    <cfRule type="cellIs" dxfId="2" priority="3" operator="equal">
      <formula>"#NA"</formula>
    </cfRule>
  </conditionalFormatting>
  <conditionalFormatting sqref="K4:L11">
    <cfRule type="cellIs" dxfId="1" priority="4" operator="equal">
      <formula>"#NA"</formula>
    </cfRule>
  </conditionalFormatting>
  <conditionalFormatting sqref="B93:B100">
    <cfRule type="cellIs" dxfId="0" priority="1" operator="equal">
      <formula>"#NA"</formula>
    </cfRule>
  </conditionalFormatting>
  <pageMargins left="0.7" right="0.7" top="0.75" bottom="0.75" header="0.3" footer="0.3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NGS_PCR</vt:lpstr>
      <vt:lpstr>DAB_A47</vt:lpstr>
      <vt:lpstr>DAB_A48</vt:lpstr>
      <vt:lpstr>DAB_A49</vt:lpstr>
      <vt:lpstr>DAB_A50</vt:lpstr>
      <vt:lpstr>DAB_A51</vt:lpstr>
      <vt:lpstr>DAB_A52</vt:lpstr>
      <vt:lpstr>DAB_A47!Print_Area</vt:lpstr>
      <vt:lpstr>NGS_PCR!Print_Area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Tomaz Skrbinsek</dc:creator>
  <cp:keywords>programiranje;programming</cp:keywords>
  <cp:lastModifiedBy>romunov</cp:lastModifiedBy>
  <cp:lastPrinted>2017-07-14T10:36:51Z</cp:lastPrinted>
  <dcterms:created xsi:type="dcterms:W3CDTF">2010-03-13T00:30:11Z</dcterms:created>
  <dcterms:modified xsi:type="dcterms:W3CDTF">2017-07-26T13:40:53Z</dcterms:modified>
</cp:coreProperties>
</file>